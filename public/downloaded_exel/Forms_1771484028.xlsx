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drawings/drawing5.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Baseline" sheetId="1" r:id="rId4"/>
    <sheet name="Form2" sheetId="2" r:id="rId5"/>
    <sheet name="M_PES" sheetId="3" r:id="rId6"/>
    <sheet name="F1_B" sheetId="4" r:id="rId7"/>
    <sheet name="F1_M" sheetId="5" r:id="rId8"/>
  </sheets>
  <definedNames>
    <definedName name="_xlnm.Print_Area" localSheetId="0">'Baseline'!$A$1:$AA$61</definedName>
    <definedName name="_xlnm.Print_Area" localSheetId="1">'Form2'!$A$1:$S$47</definedName>
  </definedNames>
  <calcPr calcId="999999" calcMode="auto" calcCompleted="1" fullCalcOnLoad="0" forceFullCalc="0"/>
</workbook>
</file>

<file path=xl/sharedStrings.xml><?xml version="1.0" encoding="utf-8"?>
<sst xmlns="http://schemas.openxmlformats.org/spreadsheetml/2006/main" uniqueCount="163">
  <si>
    <t>Department of Education 
Bureau of Learner Support Services 
SCHOOL HEALTH DIVISION 
NUTRITIONAL STATUS REPORT OF KALASUNGAY ELEMENTARY SCHOOL
BASELINE (August) SY 2025-2026</t>
  </si>
  <si>
    <t xml:space="preserve">MALAYBALAY 
CITY DIVISION </t>
  </si>
  <si>
    <t>Nutritional Status Baseline Period of Feeding</t>
  </si>
  <si>
    <t>Nutritional Status Midline Period of Feeding</t>
  </si>
  <si>
    <t>Primary Beneficiaries</t>
  </si>
  <si>
    <t>Sex</t>
  </si>
  <si>
    <t>Severely Wasted</t>
  </si>
  <si>
    <t>Wasted</t>
  </si>
  <si>
    <t>Normal</t>
  </si>
  <si>
    <t>Overweight+Obese</t>
  </si>
  <si>
    <t>Severely Stunted</t>
  </si>
  <si>
    <t>Stunted</t>
  </si>
  <si>
    <t xml:space="preserve">Normal </t>
  </si>
  <si>
    <t>Tall</t>
  </si>
  <si>
    <t>kinder</t>
  </si>
  <si>
    <t>M</t>
  </si>
  <si>
    <t>F</t>
  </si>
  <si>
    <t>T</t>
  </si>
  <si>
    <t>Grade 1</t>
  </si>
  <si>
    <t>Grade 2</t>
  </si>
  <si>
    <t>Grade 3</t>
  </si>
  <si>
    <t>Grade 4</t>
  </si>
  <si>
    <t>Grade 5</t>
  </si>
  <si>
    <t>Grade 6</t>
  </si>
  <si>
    <t>Non- Graded</t>
  </si>
  <si>
    <t>Total</t>
  </si>
  <si>
    <t>Secondary
Beneficiaries</t>
  </si>
  <si>
    <t>Secondary Beneficiaries</t>
  </si>
  <si>
    <t>All Kinder</t>
  </si>
  <si>
    <t>Stunted/
Severely Stunted</t>
  </si>
  <si>
    <t>Stunted/
Severely 
Stunted</t>
  </si>
  <si>
    <t>PARDo's</t>
  </si>
  <si>
    <t>Indigent 
Leraners</t>
  </si>
  <si>
    <t>Indigent Leraners</t>
  </si>
  <si>
    <t>Indiggenous 
Learners</t>
  </si>
  <si>
    <t>Indiggenous Learners</t>
  </si>
  <si>
    <t>Total Secondary 
Beneficiaries</t>
  </si>
  <si>
    <t>Total Secondary Beneficiaries</t>
  </si>
  <si>
    <t>Grand Total of Primary Ben + Secon Benef</t>
  </si>
  <si>
    <t>=COUNTIFS(Sheet1!C4:C2500, "f", Sheet1!D4:D2500, "&lt;&gt;*k*", Sheet1!K4:K2500, "*normal*", Sheet1!L4:L2500, "*normal*", Sheet1!N4:N2500, "no", Sheet1!P4:P2500, "no")
+COUNTIFS(Sheet1!C4:C2500, "f", Sheet1!D4:D2500, "&lt;&gt;*k*", Sheet1!K4:K2500, "*normal*", Sheet1!L4:L2500,  "tall", Sheet1!N4:N2500, "no", Sheet1!P4:P2500, "no")
'=COUNTIFS(Sheet1!C4:C2500, "m", Sheet1!D4:D2500, "&lt;&gt;*k*", Sheet1!K4:K2500, "*normal*", Sheet1!L4:L2500, "*normal*", Sheet1!N4:N2500, "no", Sheet1!P4:P2500, "no")
+COUNTIFS(Sheet1!C4:C2500, "m", Sheet1!D4:D2500, "&lt;&gt;*k*", Sheet1!K4:K2500, "*normal*", Sheet1!L4:L2500,  "tall", Sheet1!N4:N2500, "no", Sheet1!P4:P2500, "no")
'=COUNTIFS(Sheet1!C4:C2500, "m", Sheet1!D4:D2500, "&lt;&gt;*k*", Sheet1!L4:L2500, "*normal*", Sheet1!K4:K2500, "*normal*", Sheet1!N4:N2500, "no", Sheet1!P4:P2500, "no")
+COUNTIFS(Sheet1!C4:C2500, "m", Sheet1!D4:D2500, "&lt;&gt;*k*", Sheet1!L4:L2500, "*normal*", Sheet1!K4:K2500,  "overweigth", Sheet1!N4:N2500, "no", Sheet1!P4:P2500, "no")
'=COUNTIFS(Sheet1!C4:C2500, "f", Sheet1!D4:D2500, "&lt;&gt;*k*", Sheet1!L4:L2500, "*normal*", Sheet1!K4:K2500, "*normal*", Sheet1!N4:N2500, "no", Sheet1!P4:P2500, "no")
+COUNTIFS(Sheet1!C4:C2500, "f", Sheet1!D4:D2500, "&lt;&gt;*k*", Sheet1!L4:L2500, "*normal*", Sheet1!K4:K2500,  "overweigth", Sheet1!N4:N2500, "no", Sheet1!P4:P2500, "no")</t>
  </si>
  <si>
    <t>SBFP Form 2 (2025)</t>
  </si>
  <si>
    <t>Department of Education</t>
  </si>
  <si>
    <t>Region X</t>
  </si>
  <si>
    <t>SCHOOL-BASED FEEDING PROGRAM (SBFP) SUMMARY OF BENEFICIARIES &amp; START OF FEEDING (SY 2025-2026)</t>
  </si>
  <si>
    <t>Schools Division Office:  MALAYBALAY CITY - LGU</t>
  </si>
  <si>
    <t>City/ Municipality/Barangay : MALAYBALAY CITY/ CAN-AYAN</t>
  </si>
  <si>
    <t>Name of School / School District :  CANDIISAN INTEGRATED SCHOOL/DISTRICT 1</t>
  </si>
  <si>
    <t>School  ID Number: 501195</t>
  </si>
  <si>
    <t>Date of Start of Feeding: DECEMBER  5,2025</t>
  </si>
  <si>
    <r>
      <t xml:space="preserve">Last Mile School:  ___Y   _</t>
    </r>
    <r>
      <rPr>
        <rFont val="Calibri"/>
        <b val="false"/>
        <i val="false"/>
        <strike val="false"/>
        <color rgb="FF000000"/>
        <sz val="11"/>
        <u val="single"/>
      </rPr>
      <t xml:space="preserve">__</t>
    </r>
    <r>
      <rPr>
        <rFont val="Calibri"/>
        <b val="false"/>
        <i val="false"/>
        <strike val="false"/>
        <color rgb="FF000000"/>
        <sz val="11"/>
        <u val="none"/>
      </rPr>
      <t xml:space="preserve">N</t>
    </r>
  </si>
  <si>
    <t>Number of Undernourished School Children by Grade Level</t>
  </si>
  <si>
    <t>Nutritional Status at Start/End of Feeding</t>
  </si>
  <si>
    <t>No. of Secondary Targets</t>
  </si>
  <si>
    <t>Balance</t>
  </si>
  <si>
    <t>Severely
Wasted</t>
  </si>
  <si>
    <t>Overweight
+
Obese</t>
  </si>
  <si>
    <t>Severely
Stunted</t>
  </si>
  <si>
    <t>No. of Pupils-at-risk-of-dropping-out (PARDOs)</t>
  </si>
  <si>
    <t>No. of Stunted/ Severely Stunted</t>
  </si>
  <si>
    <t>No. of Indigent Learners</t>
  </si>
  <si>
    <t>No. of Indigenous Peoples (IPs)</t>
  </si>
  <si>
    <t>No. of 4 Learners Dewormed</t>
  </si>
  <si>
    <t>No. of 4 Ps Beneficiaries</t>
  </si>
  <si>
    <t>No. of Pupils who are beneficiaries in previous years (Repeaters)</t>
  </si>
  <si>
    <t>Date Feeding Started/Ended</t>
  </si>
  <si>
    <t>WEIGHT</t>
  </si>
  <si>
    <t>HEIGHT</t>
  </si>
  <si>
    <t>1.  Kinder</t>
  </si>
  <si>
    <t>2.  Grade I</t>
  </si>
  <si>
    <t>3.  Grade II</t>
  </si>
  <si>
    <t>4.  Grade III</t>
  </si>
  <si>
    <t>5. Grade IV</t>
  </si>
  <si>
    <t>6.  Grade V</t>
  </si>
  <si>
    <t>7.  Grade VI</t>
  </si>
  <si>
    <t>8. Non - Graded / SPED/SNED</t>
  </si>
  <si>
    <t>Grand Total</t>
  </si>
  <si>
    <t>Prepared by:</t>
  </si>
  <si>
    <t>Approved by:</t>
  </si>
  <si>
    <t>[Full Name]</t>
  </si>
  <si>
    <t>SBFP DepEd Focal</t>
  </si>
  <si>
    <t>Public Schools District Supervisor/ School-in-Charge</t>
  </si>
  <si>
    <t>Note:  This form shall be prepared by the school before the start of feeding and after feeding, to be compiled by the SDO, and for final compilation by the RO, for submission to  DepEd BLSS-SHD</t>
  </si>
  <si>
    <t>Annex A- Midline Nutrition Assessment Form</t>
  </si>
  <si>
    <t>School Division Office: Malaybalay City</t>
  </si>
  <si>
    <t>City/Municipality/Barangay: Malaybalay City/Panamucan, San Jose</t>
  </si>
  <si>
    <t>Name of School/School District: Panamucan Elementary School, District V</t>
  </si>
  <si>
    <t>School ID Number: 126551</t>
  </si>
  <si>
    <t>Date of start of feeding:</t>
  </si>
  <si>
    <t>Last Mile School: _____Y __/__N</t>
  </si>
  <si>
    <t>Summary of SBFP Beneficiaries for Sy: 2025-2026 assessed during Midline Period</t>
  </si>
  <si>
    <t>Number of Beneficiaries according to Grade Level or Classification</t>
  </si>
  <si>
    <t>Nutiritional Status At Midline Period of Feeding</t>
  </si>
  <si>
    <t>Overweight + Obese</t>
  </si>
  <si>
    <t>Kinder</t>
  </si>
  <si>
    <t>Grade I</t>
  </si>
  <si>
    <t>Non-Graded</t>
  </si>
  <si>
    <t>TOTAL</t>
  </si>
  <si>
    <t>GRAND TOTAL</t>
  </si>
  <si>
    <t>Certified by:</t>
  </si>
  <si>
    <t>ANIL U. QUINDALA</t>
  </si>
  <si>
    <t>CAREN JAMES A. BALURAN</t>
  </si>
  <si>
    <t>SBFP Coordinator</t>
  </si>
  <si>
    <t>Head Teacher I</t>
  </si>
  <si>
    <t>Baseline generated for school: 501189</t>
  </si>
  <si>
    <t>Capitan Angel Integrated School</t>
  </si>
  <si>
    <t>Name</t>
  </si>
  <si>
    <r>
      <rPr>
        <rFont val="Calibri"/>
        <b val="false"/>
        <i val="false"/>
        <strike val="false"/>
        <color rgb="FF000000"/>
        <sz val="10.5"/>
        <u val="none"/>
      </rPr>
      <t xml:space="preserve">Grade/</t>
    </r>
    <r>
      <rPr>
        <rFont val="Calibri"/>
        <b val="false"/>
        <i val="false"/>
        <strike val="false"/>
        <color rgb="FF000000"/>
        <sz val="10.5"/>
        <u val="none"/>
      </rPr>
      <t xml:space="preserve">Section</t>
    </r>
  </si>
  <si>
    <r>
      <rPr>
        <rFont val="Calibri"/>
        <b val="false"/>
        <i val="false"/>
        <strike val="false"/>
        <color rgb="FF000000"/>
        <sz val="10.5"/>
        <u val="none"/>
      </rPr>
      <t xml:space="preserve">Date of </t>
    </r>
    <r>
      <rPr>
        <rFont val="Calibri"/>
        <b val="false"/>
        <i val="false"/>
        <strike val="false"/>
        <color rgb="FF000000"/>
        <sz val="10.5"/>
        <u val="none"/>
      </rPr>
      <t xml:space="preserve">Birth</t>
    </r>
    <r>
      <rPr>
        <rFont val="SimSun"/>
        <b val="false"/>
        <i val="false"/>
        <strike val="false"/>
        <color rgb="FF000000"/>
        <sz val="11"/>
        <u val="none"/>
      </rPr>
      <t xml:space="preserve">
</t>
    </r>
    <r>
      <rPr>
        <rFont val="Calibri"/>
        <b val="false"/>
        <i val="false"/>
        <strike val="false"/>
        <color rgb="FF000000"/>
        <sz val="10.5"/>
        <u val="none"/>
      </rPr>
      <t xml:space="preserve">(MM/DD/YY </t>
    </r>
    <r>
      <rPr>
        <rFont val="Calibri"/>
        <b val="false"/>
        <i val="false"/>
        <strike val="false"/>
        <color rgb="FF000000"/>
        <sz val="10.5"/>
        <u val="none"/>
      </rPr>
      <t xml:space="preserve">YY)</t>
    </r>
  </si>
  <si>
    <r>
      <rPr>
        <rFont val="Calibri"/>
        <b val="false"/>
        <i val="false"/>
        <strike val="false"/>
        <color rgb="FF000000"/>
        <sz val="10.5"/>
        <u val="none"/>
      </rPr>
      <t xml:space="preserve">Date of</t>
    </r>
    <r>
      <rPr>
        <rFont val="SimSun"/>
        <b val="false"/>
        <i val="false"/>
        <strike val="false"/>
        <color rgb="FF000000"/>
        <sz val="11"/>
        <u val="none"/>
      </rPr>
      <t xml:space="preserve">
</t>
    </r>
    <r>
      <rPr>
        <rFont val="Calibri"/>
        <b val="false"/>
        <i val="false"/>
        <strike val="false"/>
        <color rgb="FF000000"/>
        <sz val="10.5"/>
        <u val="none"/>
      </rPr>
      <t xml:space="preserve">Weighing/</t>
    </r>
    <r>
      <rPr>
        <rFont val="Calibri"/>
        <b val="false"/>
        <i val="false"/>
        <strike val="false"/>
        <color rgb="FF000000"/>
        <sz val="10.5"/>
        <u val="none"/>
      </rPr>
      <t xml:space="preserve">Measuring </t>
    </r>
    <r>
      <rPr>
        <rFont val="Calibri"/>
        <b val="false"/>
        <i val="false"/>
        <strike val="false"/>
        <color rgb="FF000000"/>
        <sz val="10.5"/>
        <u val="none"/>
      </rPr>
      <t xml:space="preserve">(MM/DD/YYYY)</t>
    </r>
  </si>
  <si>
    <r>
      <rPr>
        <rFont val="Calibri"/>
        <b val="false"/>
        <i val="false"/>
        <strike val="false"/>
        <color rgb="FF000000"/>
        <sz val="10.5"/>
        <u val="none"/>
      </rPr>
      <t xml:space="preserve">Age in Years/</t>
    </r>
    <r>
      <rPr>
        <rFont val="Calibri"/>
        <b val="false"/>
        <i val="false"/>
        <strike val="false"/>
        <color rgb="FF000000"/>
        <sz val="10.5"/>
        <u val="none"/>
      </rPr>
      <t xml:space="preserve">Months</t>
    </r>
  </si>
  <si>
    <t>Weight(Kg)</t>
  </si>
  <si>
    <t>Height(cm)</t>
  </si>
  <si>
    <r>
      <rPr>
        <rFont val="Calibri"/>
        <b val="false"/>
        <i val="false"/>
        <strike val="false"/>
        <color rgb="FF000000"/>
        <sz val="10.5"/>
        <u val="none"/>
      </rPr>
      <t xml:space="preserve">BMI for 6 y.o.</t>
    </r>
    <r>
      <rPr>
        <rFont val="Calibri"/>
        <b val="false"/>
        <i val="false"/>
        <strike val="false"/>
        <color rgb="FF000000"/>
        <sz val="10.5"/>
        <u val="none"/>
      </rPr>
      <t xml:space="preserve">and above</t>
    </r>
  </si>
  <si>
    <t>Nutritional Status (NS)</t>
  </si>
  <si>
    <r>
      <rPr>
        <rFont val="Calibri"/>
        <b val="false"/>
        <i val="false"/>
        <strike val="false"/>
        <color rgb="FF000000"/>
        <sz val="10.5"/>
        <u val="none"/>
      </rPr>
      <t xml:space="preserve">Parent's</t>
    </r>
    <r>
      <rPr>
        <rFont val="SimSun"/>
        <b val="false"/>
        <i val="false"/>
        <strike val="false"/>
        <color rgb="FF000000"/>
        <sz val="11"/>
        <u val="none"/>
      </rPr>
      <t xml:space="preserve">
</t>
    </r>
    <r>
      <rPr>
        <rFont val="Calibri"/>
        <b val="false"/>
        <i val="false"/>
        <strike val="false"/>
        <color rgb="FF000000"/>
        <sz val="10.5"/>
        <u val="none"/>
      </rPr>
      <t xml:space="preserve">consent for </t>
    </r>
    <r>
      <rPr>
        <rFont val="Calibri"/>
        <b val="false"/>
        <i val="false"/>
        <strike val="false"/>
        <color rgb="FF000000"/>
        <sz val="10.5"/>
        <u val="none"/>
      </rPr>
      <t xml:space="preserve">milk?</t>
    </r>
    <r>
      <rPr>
        <rFont val="SimSun"/>
        <b val="false"/>
        <i val="false"/>
        <strike val="false"/>
        <color rgb="FF000000"/>
        <sz val="11"/>
        <u val="none"/>
      </rPr>
      <t xml:space="preserve">
</t>
    </r>
    <r>
      <rPr>
        <rFont val="Calibri"/>
        <b val="false"/>
        <i val="false"/>
        <strike val="false"/>
        <color rgb="FF000000"/>
        <sz val="10.5"/>
        <u val="none"/>
      </rPr>
      <t xml:space="preserve">(yes or no)</t>
    </r>
  </si>
  <si>
    <r>
      <rPr>
        <rFont val="Calibri"/>
        <b val="false"/>
        <i val="false"/>
        <strike val="false"/>
        <color rgb="FF000000"/>
        <sz val="10.5"/>
        <u val="none"/>
      </rPr>
      <t xml:space="preserve">Participation in </t>
    </r>
    <r>
      <rPr>
        <rFont val="Calibri"/>
        <b val="false"/>
        <i val="false"/>
        <strike val="false"/>
        <color rgb="FF000000"/>
        <sz val="10.5"/>
        <u val="none"/>
      </rPr>
      <t xml:space="preserve">4Ps</t>
    </r>
    <r>
      <rPr>
        <rFont val="SimSun"/>
        <b val="false"/>
        <i val="false"/>
        <strike val="false"/>
        <color rgb="FF000000"/>
        <sz val="11"/>
        <u val="none"/>
      </rPr>
      <t xml:space="preserve">
</t>
    </r>
    <r>
      <rPr>
        <rFont val="Calibri"/>
        <b val="false"/>
        <i val="false"/>
        <strike val="false"/>
        <color rgb="FF000000"/>
        <sz val="10.5"/>
        <u val="none"/>
      </rPr>
      <t xml:space="preserve">(yes or no)</t>
    </r>
  </si>
  <si>
    <r>
      <rPr>
        <rFont val="Calibri"/>
        <b val="false"/>
        <i val="false"/>
        <strike val="false"/>
        <color rgb="FF000000"/>
        <sz val="10.5"/>
        <u val="none"/>
      </rPr>
      <t xml:space="preserve">Beneficiary of </t>
    </r>
    <r>
      <rPr>
        <rFont val="Calibri"/>
        <b val="false"/>
        <i val="false"/>
        <strike val="false"/>
        <color rgb="FF000000"/>
        <sz val="10.5"/>
        <u val="none"/>
      </rPr>
      <t xml:space="preserve">SBFP in</t>
    </r>
    <r>
      <rPr>
        <rFont val="SimSun"/>
        <b val="false"/>
        <i val="false"/>
        <strike val="false"/>
        <color rgb="FF000000"/>
        <sz val="11"/>
        <u val="none"/>
      </rPr>
      <t xml:space="preserve">
</t>
    </r>
    <r>
      <rPr>
        <rFont val="Calibri"/>
        <b val="false"/>
        <i val="false"/>
        <strike val="false"/>
        <color rgb="FF000000"/>
        <sz val="10.5"/>
        <u val="none"/>
      </rPr>
      <t xml:space="preserve">Previous Years </t>
    </r>
    <r>
      <rPr>
        <rFont val="Calibri"/>
        <b val="false"/>
        <i val="false"/>
        <strike val="false"/>
        <color rgb="FF000000"/>
        <sz val="10.5"/>
        <u val="none"/>
      </rPr>
      <t xml:space="preserve">(yes or no)</t>
    </r>
  </si>
  <si>
    <t>IP?</t>
  </si>
  <si>
    <t>BMI-A</t>
  </si>
  <si>
    <t>HFA</t>
  </si>
  <si>
    <t>frieren</t>
  </si>
  <si>
    <t>f</t>
  </si>
  <si>
    <t>normal</t>
  </si>
  <si>
    <t>stunted</t>
  </si>
  <si>
    <t>no</t>
  </si>
  <si>
    <t>yes</t>
  </si>
  <si>
    <t>gon freecs</t>
  </si>
  <si>
    <t>m</t>
  </si>
  <si>
    <t>hazel</t>
  </si>
  <si>
    <t>severely stunted</t>
  </si>
  <si>
    <t>ichigo kurosaki</t>
  </si>
  <si>
    <t>jim</t>
  </si>
  <si>
    <t>juan dela cruz</t>
  </si>
  <si>
    <t>male</t>
  </si>
  <si>
    <t>severely wasted</t>
  </si>
  <si>
    <t>robert</t>
  </si>
  <si>
    <t>roberto 2</t>
  </si>
  <si>
    <t>robertos</t>
  </si>
  <si>
    <t>SBFP Form 1 (2024)</t>
  </si>
  <si>
    <t>Master List Beneficiaries for School-Based Feeding Program (SBFP) ( SY 2025-2026)</t>
  </si>
  <si>
    <t>Di6sion: MALAYBALAY CITY</t>
  </si>
  <si>
    <t>Name of Principal : NOEMI V. HISONA</t>
  </si>
  <si>
    <t>City/ Municipality/Barangay : MALAYBALAY CITY/BUKIDNON/ [BARANGAY]</t>
  </si>
  <si>
    <t>Name of Feeding Focal Person : JOSEPH JASON A. LIM</t>
  </si>
  <si>
    <t>Name of School / School District :  CAPITAN ANGEL INTEGRATED SCHOOL / DISTRICT I</t>
  </si>
  <si>
    <t>School  ID Number: 501189</t>
  </si>
  <si>
    <t>No.</t>
  </si>
  <si>
    <t>Grade</t>
  </si>
  <si>
    <t>Section</t>
  </si>
  <si>
    <t>Date of Birth (MM/DD/YYYY)</t>
  </si>
  <si>
    <t>Date of Weighing / Measuring (MM/DD/YYYY)</t>
  </si>
  <si>
    <t>Age</t>
  </si>
  <si>
    <t>Weight (Kg)</t>
  </si>
  <si>
    <t>Height (cm)</t>
  </si>
  <si>
    <t>BMI for 6 y.o. and above</t>
  </si>
  <si>
    <t>Participation in 4Ps                   (yes or no)</t>
  </si>
  <si>
    <t>IIndigenous People
(yes or no)</t>
  </si>
  <si>
    <t>Pupils At Risk of Dropping Out 
PARDO's
(yes or no)</t>
  </si>
  <si>
    <t>Deworemed?
(yes or no)</t>
  </si>
  <si>
    <t>Parent's consent for milk?                   (yes or no)</t>
  </si>
  <si>
    <t>Beneficiary of SBFP in Pre6ous Years 
(yes or no)</t>
  </si>
  <si>
    <t xml:space="preserve"> Years</t>
  </si>
  <si>
    <t>Months</t>
  </si>
</sst>
</file>

<file path=xl/styles.xml><?xml version="1.0" encoding="utf-8"?>
<styleSheet xmlns="http://schemas.openxmlformats.org/spreadsheetml/2006/main" xml:space="preserve">
  <numFmts count="1">
    <numFmt numFmtId="164" formatCode="mm/dd/yyyy;@"/>
  </numFmts>
  <fonts count="22">
    <font>
      <b val="0"/>
      <i val="0"/>
      <strike val="0"/>
      <u val="none"/>
      <sz val="11"/>
      <color rgb="FF000000"/>
      <name val="Calibri"/>
      <scheme val="minor"/>
    </font>
    <font>
      <b val="1"/>
      <i val="0"/>
      <strike val="0"/>
      <u val="none"/>
      <sz val="11"/>
      <color rgb="FF000000"/>
      <name val="Calibri"/>
    </font>
    <font>
      <b val="1"/>
      <i val="0"/>
      <strike val="0"/>
      <u val="none"/>
      <sz val="9"/>
      <color rgb="FF000000"/>
      <name val="Calibri"/>
    </font>
    <font>
      <b val="0"/>
      <i val="0"/>
      <strike val="0"/>
      <u val="none"/>
      <sz val="11"/>
      <color rgb="FF000000"/>
      <name val="Calibri"/>
    </font>
    <font>
      <b val="0"/>
      <i val="0"/>
      <strike val="0"/>
      <u val="none"/>
      <sz val="10.5"/>
      <color rgb="FF000000"/>
      <name val="Calibri"/>
      <scheme val="minor"/>
    </font>
    <font>
      <b val="0"/>
      <i val="0"/>
      <strike val="0"/>
      <u val="none"/>
      <sz val="11"/>
      <color rgb="FF000000"/>
      <name val="Arial"/>
    </font>
    <font>
      <b val="0"/>
      <i val="0"/>
      <strike val="0"/>
      <u val="none"/>
      <sz val="11"/>
      <color rgb="FF000000"/>
      <name val="Aptos Narrow"/>
    </font>
    <font>
      <b val="1"/>
      <i val="0"/>
      <strike val="0"/>
      <u val="none"/>
      <sz val="11"/>
      <color rgb="FF000000"/>
      <name val="Aptos Narrow"/>
    </font>
    <font>
      <b val="1"/>
      <i val="0"/>
      <strike val="0"/>
      <u val="none"/>
      <sz val="11"/>
      <color rgb="FF000000"/>
      <name val="Arial"/>
    </font>
    <font>
      <b val="1"/>
      <i val="0"/>
      <strike val="0"/>
      <u val="none"/>
      <sz val="11"/>
      <color rgb="FFFF0000"/>
      <name val="Aptos Narrow"/>
    </font>
    <font>
      <b val="1"/>
      <i val="0"/>
      <strike val="0"/>
      <u val="none"/>
      <sz val="11"/>
      <color rgb="FF000000"/>
      <name val="Calibri"/>
      <scheme val="minor"/>
    </font>
    <font>
      <b val="1"/>
      <i val="0"/>
      <strike val="0"/>
      <u val="single"/>
      <sz val="11"/>
      <color rgb="FF000000"/>
      <name val="Calibri"/>
      <scheme val="minor"/>
    </font>
    <font>
      <b val="0"/>
      <i val="0"/>
      <strike val="0"/>
      <u val="none"/>
      <sz val="11"/>
      <color rgb="FF000000"/>
      <name val="Times New Roman"/>
    </font>
    <font>
      <b val="1"/>
      <i val="0"/>
      <strike val="0"/>
      <u val="none"/>
      <sz val="11"/>
      <color rgb="FF000000"/>
      <name val="Times New Roman"/>
    </font>
    <font>
      <b val="0"/>
      <i val="0"/>
      <strike val="0"/>
      <u val="none"/>
      <sz val="10"/>
      <color rgb="FF000000"/>
      <name val="Arial"/>
    </font>
    <font>
      <b val="0"/>
      <i val="0"/>
      <strike val="0"/>
      <u val="none"/>
      <sz val="8"/>
      <color rgb="FF000000"/>
      <name val="Arial"/>
    </font>
    <font>
      <b val="1"/>
      <i val="0"/>
      <strike val="0"/>
      <u val="none"/>
      <sz val="10"/>
      <color rgb="FF000000"/>
      <name val="Arial"/>
    </font>
    <font>
      <b val="1"/>
      <i val="0"/>
      <strike val="0"/>
      <u val="none"/>
      <sz val="8"/>
      <color rgb="FF000000"/>
      <name val="Arial"/>
    </font>
    <font>
      <b val="1"/>
      <i val="0"/>
      <strike val="0"/>
      <u val="single"/>
      <sz val="10"/>
      <color rgb="FF000000"/>
      <name val="Arial"/>
    </font>
    <font>
      <b val="1"/>
      <i val="0"/>
      <strike val="0"/>
      <u val="none"/>
      <sz val="12"/>
      <color rgb="FF000000"/>
      <name val="Arial"/>
    </font>
    <font>
      <b val="0"/>
      <i val="0"/>
      <strike val="0"/>
      <u val="none"/>
      <sz val="12"/>
      <color rgb="FF000000"/>
      <name val="Arial"/>
    </font>
    <font>
      <b val="1"/>
      <i val="0"/>
      <strike val="0"/>
      <u val="none"/>
      <sz val="7"/>
      <color rgb="FF000000"/>
      <name val="Arial"/>
    </font>
  </fonts>
  <fills count="9">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F7CAAC"/>
        <bgColor rgb="FFF7CAAC"/>
      </patternFill>
    </fill>
    <fill>
      <patternFill patternType="solid">
        <fgColor rgb="FFC5E0B3"/>
        <bgColor rgb="FFC5E0B3"/>
      </patternFill>
    </fill>
    <fill>
      <patternFill patternType="solid">
        <fgColor rgb="FFC1F0C8"/>
        <bgColor rgb="FFC1F0C8"/>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000000"/>
      </bottom>
      <diagonal/>
    </border>
    <border>
      <left/>
      <right/>
      <top/>
      <bottom style="medium">
        <color rgb="FF000000"/>
      </bottom>
      <diagonal/>
    </border>
    <border>
      <left/>
      <right style="medium">
        <color rgb="FFCCCCCC"/>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154">
    <xf xfId="0" fontId="0" numFmtId="0" fillId="0" borderId="0" applyFont="0" applyNumberFormat="0" applyFill="0" applyBorder="0"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true" shrinkToFit="false"/>
    </xf>
    <xf xfId="0" fontId="2" numFmtId="0" fillId="0" borderId="1" applyFont="1" applyNumberFormat="0" applyFill="0" applyBorder="1" applyAlignment="1">
      <alignment horizontal="center" vertical="center" textRotation="0" wrapText="true" shrinkToFit="false"/>
    </xf>
    <xf xfId="0" fontId="1" numFmtId="0" fillId="0" borderId="0" applyFont="1" applyNumberFormat="0" applyFill="0" applyBorder="0" applyAlignment="1">
      <alignment vertical="center" textRotation="0" wrapText="true" shrinkToFit="false"/>
    </xf>
    <xf xfId="0" fontId="1" numFmtId="0" fillId="2" borderId="1" applyFont="1" applyNumberFormat="0" applyFill="1" applyBorder="1" applyAlignment="1">
      <alignment horizontal="center" vertical="center" textRotation="0" wrapText="false" shrinkToFit="false"/>
    </xf>
    <xf xfId="0" fontId="1" numFmtId="0" fillId="0" borderId="1" applyFont="1" applyNumberFormat="0" applyFill="0" applyBorder="1" applyAlignment="0"/>
    <xf xfId="0" fontId="1" numFmtId="0" fillId="0" borderId="1" applyFont="1" applyNumberFormat="0" applyFill="0" applyBorder="1" applyAlignment="1">
      <alignment horizontal="center" vertical="bottom" textRotation="0" wrapText="false" shrinkToFit="false"/>
    </xf>
    <xf xfId="0" fontId="1" numFmtId="0" fillId="2" borderId="1" applyFont="1" applyNumberFormat="0" applyFill="1" applyBorder="1" applyAlignment="1">
      <alignment horizontal="center" vertical="bottom" textRotation="0" wrapText="false" shrinkToFit="false"/>
    </xf>
    <xf xfId="0" fontId="1" numFmtId="0" fillId="3" borderId="1" applyFont="1" applyNumberFormat="0" applyFill="1" applyBorder="1" applyAlignment="1">
      <alignment horizontal="center" vertical="bottom" textRotation="0" wrapText="false" shrinkToFit="false"/>
    </xf>
    <xf xfId="0" fontId="1" numFmtId="0" fillId="4" borderId="1" applyFont="1" applyNumberFormat="0" applyFill="1" applyBorder="1" applyAlignment="1">
      <alignment horizontal="center" vertical="bottom" textRotation="0" wrapText="false" shrinkToFit="false"/>
    </xf>
    <xf xfId="0" fontId="3" numFmtId="0" fillId="2"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1">
      <alignment horizontal="center" vertical="center" textRotation="0" wrapText="true" shrinkToFit="false"/>
    </xf>
    <xf xfId="0" fontId="0" numFmtId="0" fillId="0" borderId="0" applyFont="0" applyNumberFormat="0" applyFill="0" applyBorder="0" applyAlignment="0"/>
    <xf xfId="0" fontId="5" numFmtId="0" fillId="0" borderId="0" applyFont="1" applyNumberFormat="0" applyFill="0" applyBorder="0" applyAlignment="0"/>
    <xf xfId="0" fontId="6" numFmtId="0" fillId="0" borderId="0" applyFont="1" applyNumberFormat="0" applyFill="0" applyBorder="0" applyAlignment="1">
      <alignment horizontal="center" vertical="top" textRotation="0" wrapText="true" shrinkToFit="false"/>
    </xf>
    <xf xfId="0" fontId="6" numFmtId="0" fillId="0" borderId="1" applyFont="1" applyNumberFormat="0" applyFill="0" applyBorder="1" applyAlignment="1">
      <alignment horizontal="center" vertical="top" textRotation="0" wrapText="true" shrinkToFit="false"/>
    </xf>
    <xf xfId="0" fontId="7" numFmtId="0" fillId="5" borderId="1" applyFont="1" applyNumberFormat="0" applyFill="1" applyBorder="1" applyAlignment="1">
      <alignment horizontal="center" vertical="center" textRotation="0" wrapText="true" shrinkToFit="false"/>
    </xf>
    <xf xfId="0" fontId="7" numFmtId="0" fillId="2" borderId="1" applyFont="1" applyNumberFormat="0" applyFill="1" applyBorder="1" applyAlignment="1">
      <alignment horizontal="center" vertical="center" textRotation="0" wrapText="true" shrinkToFit="false"/>
    </xf>
    <xf xfId="0" fontId="5" numFmtId="0" fillId="0" borderId="1" applyFont="1" applyNumberFormat="0" applyFill="0" applyBorder="1" applyAlignment="1">
      <alignment horizontal="center" vertical="top" textRotation="0" wrapText="true" shrinkToFit="false"/>
    </xf>
    <xf xfId="0" fontId="6" numFmtId="0" fillId="0" borderId="1" applyFont="1" applyNumberFormat="0" applyFill="0" applyBorder="1" applyAlignment="0"/>
    <xf xfId="0" fontId="7" numFmtId="0" fillId="2" borderId="0" applyFont="1" applyNumberFormat="0" applyFill="1" applyBorder="0" applyAlignment="1">
      <alignment horizontal="center" vertical="center" textRotation="0" wrapText="false" shrinkToFit="false"/>
    </xf>
    <xf xfId="0" fontId="7" numFmtId="0" fillId="2" borderId="1" applyFont="1" applyNumberFormat="0" applyFill="1" applyBorder="1" applyAlignment="1">
      <alignment horizontal="center" vertical="top" textRotation="0" wrapText="true" shrinkToFit="false"/>
    </xf>
    <xf xfId="0" fontId="8" numFmtId="0" fillId="2" borderId="1" applyFont="1" applyNumberFormat="0" applyFill="1" applyBorder="1" applyAlignment="1">
      <alignment horizontal="center" vertical="top" textRotation="0" wrapText="true" shrinkToFit="false"/>
    </xf>
    <xf xfId="0" fontId="9" numFmtId="0" fillId="2" borderId="1" applyFont="1" applyNumberFormat="0" applyFill="1" applyBorder="1" applyAlignment="1">
      <alignment horizontal="center" vertical="top" textRotation="0" wrapText="true" shrinkToFit="false"/>
    </xf>
    <xf xfId="0" fontId="10" numFmtId="0" fillId="0" borderId="0" applyFont="1" applyNumberFormat="0" applyFill="0" applyBorder="0" applyAlignment="0"/>
    <xf xfId="0" fontId="0" quotePrefix="1" numFmtId="0" fillId="0" borderId="0" applyFont="0" applyNumberFormat="0" applyFill="0" applyBorder="0" applyAlignment="1">
      <alignment vertical="center" textRotation="0" wrapText="true" shrinkToFit="false"/>
    </xf>
    <xf xfId="0" fontId="11" numFmtId="0" fillId="0" borderId="0" applyFont="1" applyNumberFormat="0" applyFill="0" applyBorder="0" applyAlignment="0"/>
    <xf xfId="0" fontId="10" numFmtId="0" fillId="0" borderId="0" applyFont="1" applyNumberFormat="0" applyFill="0" applyBorder="0" applyAlignment="1">
      <alignment horizontal="center" vertical="bottom" textRotation="0" wrapText="false" shrinkToFit="false"/>
    </xf>
    <xf xfId="0" fontId="7" numFmtId="0" fillId="0" borderId="2" applyFont="1" applyNumberFormat="0" applyFill="0" applyBorder="1" applyAlignment="1">
      <alignment horizontal="center" vertical="top" textRotation="0" wrapText="true" shrinkToFit="false"/>
    </xf>
    <xf xfId="0" fontId="6" numFmtId="0" fillId="0" borderId="1" applyFont="1" applyNumberFormat="0" applyFill="0" applyBorder="1" applyAlignment="1">
      <alignment horizontal="center" vertical="top" textRotation="0" wrapText="true" shrinkToFit="false"/>
    </xf>
    <xf xfId="0" fontId="0" numFmtId="0" fillId="0" borderId="0" applyFont="0" applyNumberFormat="0" applyFill="0" applyBorder="0" applyAlignment="1">
      <alignment horizontal="left" vertical="bottom" textRotation="0" wrapText="false" shrinkToFit="false"/>
    </xf>
    <xf xfId="0" fontId="7" numFmtId="0" fillId="5"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vertical="center" textRotation="0" wrapText="false" shrinkToFit="false"/>
    </xf>
    <xf xfId="0" fontId="12" numFmtId="0" fillId="0" borderId="0" applyFont="1" applyNumberFormat="0" applyFill="0" applyBorder="0" applyAlignment="0"/>
    <xf xfId="0" fontId="12" numFmtId="0" fillId="0" borderId="1" applyFont="1" applyNumberFormat="0" applyFill="0" applyBorder="1" applyAlignment="1">
      <alignment horizontal="center" vertical="center" textRotation="0" wrapText="true" shrinkToFit="false"/>
    </xf>
    <xf xfId="0" fontId="12" numFmtId="0" fillId="6" borderId="1" applyFont="1" applyNumberFormat="0" applyFill="1" applyBorder="1" applyAlignment="1">
      <alignment horizontal="center" vertical="center" textRotation="0" wrapText="true" shrinkToFit="false"/>
    </xf>
    <xf xfId="0" fontId="12" numFmtId="0" fillId="7" borderId="1" applyFont="1" applyNumberFormat="0" applyFill="1" applyBorder="1" applyAlignment="1">
      <alignment horizontal="center" vertical="center" textRotation="0" wrapText="true" shrinkToFit="false"/>
    </xf>
    <xf xfId="0" fontId="12" numFmtId="0" fillId="0" borderId="1" applyFont="1" applyNumberFormat="0" applyFill="0" applyBorder="1" applyAlignment="1">
      <alignment horizontal="center" vertical="center" textRotation="0" wrapText="false" shrinkToFit="false"/>
    </xf>
    <xf xfId="0" fontId="12" numFmtId="0" fillId="6" borderId="1" applyFont="1" applyNumberFormat="0" applyFill="1" applyBorder="1" applyAlignment="0"/>
    <xf xfId="0" fontId="12" numFmtId="0" fillId="7" borderId="1" applyFont="1" applyNumberFormat="0" applyFill="1" applyBorder="1" applyAlignment="0"/>
    <xf xfId="0" fontId="13" numFmtId="0" fillId="0" borderId="1" applyFont="1" applyNumberFormat="0" applyFill="0" applyBorder="1" applyAlignment="1">
      <alignment horizontal="center" vertical="center" textRotation="0" wrapText="false" shrinkToFit="false"/>
    </xf>
    <xf xfId="0" fontId="13" numFmtId="0" fillId="6" borderId="1" applyFont="1" applyNumberFormat="0" applyFill="1" applyBorder="1" applyAlignment="0"/>
    <xf xfId="0" fontId="13" numFmtId="0" fillId="7" borderId="1" applyFont="1" applyNumberFormat="0" applyFill="1" applyBorder="1" applyAlignment="0"/>
    <xf xfId="0" fontId="14" numFmtId="0" fillId="0" borderId="0" applyFont="1" applyNumberFormat="0" applyFill="0" applyBorder="0" applyAlignment="0"/>
    <xf xfId="0" fontId="14" numFmtId="164" fillId="0" borderId="0" applyFont="1" applyNumberFormat="1" applyFill="0" applyBorder="0" applyAlignment="0"/>
    <xf xfId="0" fontId="14" numFmtId="2" fillId="0" borderId="0" applyFont="1" applyNumberFormat="1" applyFill="0" applyBorder="0" applyAlignment="0"/>
    <xf xfId="0" fontId="15" numFmtId="0" fillId="0" borderId="0" applyFont="1" applyNumberFormat="0" applyFill="0" applyBorder="0" applyAlignment="0"/>
    <xf xfId="0" fontId="14" numFmtId="0" fillId="0" borderId="0" applyFont="1" applyNumberFormat="0" applyFill="0" applyBorder="0" applyAlignment="0"/>
    <xf xfId="0" fontId="16" numFmtId="0" fillId="3" borderId="1" applyFont="1" applyNumberFormat="0" applyFill="1" applyBorder="1" applyAlignment="1">
      <alignment horizontal="center" vertical="center" textRotation="0" wrapText="true" shrinkToFit="false"/>
    </xf>
    <xf xfId="0" fontId="17" numFmtId="0" fillId="3" borderId="1" applyFont="1" applyNumberFormat="0" applyFill="1" applyBorder="1" applyAlignment="1">
      <alignment horizontal="center" vertical="center" textRotation="0" wrapText="false" shrinkToFit="false"/>
    </xf>
    <xf xfId="0" fontId="16" numFmtId="0" fillId="3" borderId="1" applyFont="1" applyNumberFormat="0" applyFill="1" applyBorder="1" applyAlignment="1">
      <alignment horizontal="center" vertical="center" textRotation="0" wrapText="false" shrinkToFit="false"/>
    </xf>
    <xf xfId="0" fontId="1" numFmtId="0" fillId="0" borderId="3" applyFont="1" applyNumberFormat="0" applyFill="0" applyBorder="1" applyAlignment="1">
      <alignment horizontal="center" vertical="center" textRotation="0" wrapText="true" shrinkToFit="false"/>
    </xf>
    <xf xfId="0" fontId="0" numFmtId="0" fillId="0" borderId="4" applyFont="0" applyNumberFormat="0" applyFill="0" applyBorder="1" applyAlignment="1">
      <alignment vertical="center" textRotation="0" wrapText="false" shrinkToFit="false"/>
    </xf>
    <xf xfId="0" fontId="0" numFmtId="0" fillId="0" borderId="2" applyFont="0" applyNumberFormat="0" applyFill="0" applyBorder="1" applyAlignment="1">
      <alignment vertical="center" textRotation="0" wrapText="false" shrinkToFit="false"/>
    </xf>
    <xf xfId="0" fontId="0" numFmtId="0" fillId="0" borderId="4" applyFont="0" applyNumberFormat="0" applyFill="0" applyBorder="1" applyAlignment="1">
      <alignment vertical="center" textRotation="0" wrapText="true" shrinkToFit="false"/>
    </xf>
    <xf xfId="0" fontId="0" numFmtId="0" fillId="0" borderId="2" applyFont="0" applyNumberFormat="0" applyFill="0" applyBorder="1" applyAlignment="1">
      <alignment vertical="center" textRotation="0" wrapText="true" shrinkToFit="false"/>
    </xf>
    <xf xfId="0" fontId="1" numFmtId="0" fillId="0" borderId="5" applyFont="1" applyNumberFormat="0" applyFill="0" applyBorder="1" applyAlignment="1">
      <alignment horizontal="center" vertical="center" textRotation="0" wrapText="false" shrinkToFit="false"/>
    </xf>
    <xf xfId="0" fontId="0" numFmtId="0" fillId="0" borderId="6" applyFont="0" applyNumberFormat="0" applyFill="0" applyBorder="1" applyAlignment="0"/>
    <xf xfId="0" fontId="0" numFmtId="0" fillId="0" borderId="7" applyFont="0" applyNumberFormat="0" applyFill="0" applyBorder="1" applyAlignment="0"/>
    <xf xfId="0" fontId="0" numFmtId="0" fillId="0" borderId="8" applyFont="0" applyNumberFormat="0" applyFill="0" applyBorder="1" applyAlignment="0"/>
    <xf xfId="0" fontId="0" numFmtId="0" fillId="0" borderId="9" applyFont="0" applyNumberFormat="0" applyFill="0" applyBorder="1" applyAlignment="0"/>
    <xf xfId="0" fontId="0" numFmtId="0" fillId="0" borderId="10" applyFont="0" applyNumberFormat="0" applyFill="0" applyBorder="1" applyAlignment="0"/>
    <xf xfId="0" fontId="1"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1">
      <alignment horizontal="center" vertical="center" textRotation="0" wrapText="true" shrinkToFit="false"/>
    </xf>
    <xf xfId="0" fontId="1" numFmtId="0" fillId="0" borderId="2" applyFont="1" applyNumberFormat="0" applyFill="0" applyBorder="1" applyAlignment="1">
      <alignment horizontal="center" vertical="center" textRotation="0" wrapText="true" shrinkToFit="false"/>
    </xf>
    <xf xfId="0" fontId="1" numFmtId="0" fillId="0" borderId="3" applyFont="1" applyNumberFormat="0" applyFill="0" applyBorder="1" applyAlignment="1">
      <alignment horizontal="center" vertical="center" textRotation="0" wrapText="false" shrinkToFit="false"/>
    </xf>
    <xf xfId="0" fontId="0" quotePrefix="1" numFmtId="0" fillId="0" borderId="0" applyFont="0" applyNumberFormat="0" applyFill="0" applyBorder="0" applyAlignment="1">
      <alignment horizontal="left" vertical="center" textRotation="0" wrapText="true" shrinkToFit="false"/>
    </xf>
    <xf xfId="0" fontId="0" numFmtId="0" fillId="0" borderId="0" applyFont="0" applyNumberFormat="0" applyFill="0" applyBorder="0" applyAlignment="1">
      <alignment horizontal="left" vertical="center" textRotation="0" wrapText="false" shrinkToFit="false"/>
    </xf>
    <xf xfId="0" fontId="1" numFmtId="0" fillId="0" borderId="11" applyFont="1" applyNumberFormat="0" applyFill="0" applyBorder="1" applyAlignment="1">
      <alignment horizontal="center" vertical="center" textRotation="0" wrapText="true" shrinkToFit="false"/>
    </xf>
    <xf xfId="0" fontId="0" numFmtId="0" fillId="0" borderId="12" applyFont="0" applyNumberFormat="0" applyFill="0"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0" borderId="14" applyFont="0"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15" applyFont="0" applyNumberFormat="0" applyFill="0" applyBorder="1" applyAlignment="1">
      <alignment horizontal="center" vertical="bottom" textRotation="0" wrapText="false" shrinkToFit="false"/>
    </xf>
    <xf xfId="0" fontId="0" numFmtId="0" fillId="0" borderId="16" applyFont="0" applyNumberFormat="0" applyFill="0" applyBorder="1" applyAlignment="1">
      <alignment horizontal="center" vertical="bottom" textRotation="0" wrapText="false" shrinkToFit="false"/>
    </xf>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0" numFmtId="0" fillId="0" borderId="12" applyFont="0" applyNumberFormat="0" applyFill="0" applyBorder="1" applyAlignment="0"/>
    <xf xfId="0" fontId="0" numFmtId="0" fillId="0" borderId="13" applyFont="0" applyNumberFormat="0" applyFill="0" applyBorder="1" applyAlignment="0"/>
    <xf xfId="0" fontId="0" numFmtId="0" fillId="0" borderId="14" applyFont="0" applyNumberFormat="0" applyFill="0" applyBorder="1" applyAlignment="1">
      <alignment vertical="bottom" textRotation="0" wrapText="true" shrinkToFit="false"/>
    </xf>
    <xf xfId="0" fontId="0" numFmtId="0" fillId="0" borderId="0" applyFont="0" applyNumberFormat="0" applyFill="0" applyBorder="0" applyAlignment="0"/>
    <xf xfId="0" fontId="0" numFmtId="0" fillId="0" borderId="15" applyFont="0" applyNumberFormat="0" applyFill="0" applyBorder="1" applyAlignment="0"/>
    <xf xfId="0" fontId="0" numFmtId="0" fillId="0" borderId="16" applyFont="0" applyNumberFormat="0" applyFill="0" applyBorder="1" applyAlignment="1">
      <alignment vertical="bottom" textRotation="0" wrapText="true" shrinkToFit="false"/>
    </xf>
    <xf xfId="0" fontId="0" numFmtId="0" fillId="0" borderId="17" applyFont="0" applyNumberFormat="0" applyFill="0" applyBorder="1" applyAlignment="0"/>
    <xf xfId="0" fontId="0" numFmtId="0" fillId="0" borderId="18" applyFont="0" applyNumberFormat="0" applyFill="0" applyBorder="1" applyAlignment="0"/>
    <xf xfId="0" fontId="1" numFmtId="0" fillId="0" borderId="19" applyFont="1" applyNumberFormat="0" applyFill="0" applyBorder="1" applyAlignment="1">
      <alignment horizontal="center" vertical="center" textRotation="0" wrapText="false" shrinkToFit="false"/>
    </xf>
    <xf xfId="0" fontId="0" numFmtId="0" fillId="0" borderId="20" applyFont="0" applyNumberFormat="0" applyFill="0" applyBorder="1" applyAlignment="0"/>
    <xf xfId="0" fontId="0" numFmtId="0" fillId="0" borderId="21" applyFont="0" applyNumberFormat="0" applyFill="0" applyBorder="1" applyAlignment="0"/>
    <xf xfId="0" fontId="0" numFmtId="0" fillId="0" borderId="9" applyFont="0" applyNumberFormat="0" applyFill="0" applyBorder="1" applyAlignment="1">
      <alignment horizontal="left"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7" numFmtId="0" fillId="0" borderId="3" applyFont="1" applyNumberFormat="0" applyFill="0" applyBorder="1" applyAlignment="1">
      <alignment horizontal="center" vertical="center" textRotation="0" wrapText="true" shrinkToFit="false"/>
    </xf>
    <xf xfId="0" fontId="7" numFmtId="0" fillId="0" borderId="4" applyFont="1" applyNumberFormat="0" applyFill="0" applyBorder="1" applyAlignment="1">
      <alignment horizontal="center" vertical="center" textRotation="0" wrapText="true" shrinkToFit="false"/>
    </xf>
    <xf xfId="0" fontId="7" numFmtId="0" fillId="0" borderId="2" applyFont="1" applyNumberFormat="0" applyFill="0" applyBorder="1" applyAlignment="1">
      <alignment horizontal="center" vertical="center" textRotation="0" wrapText="true" shrinkToFit="false"/>
    </xf>
    <xf xfId="0" fontId="8" numFmtId="0" fillId="0" borderId="0" applyFont="1" applyNumberFormat="0" applyFill="0" applyBorder="0" applyAlignment="1">
      <alignment horizontal="left" vertical="center" textRotation="0" wrapText="false" shrinkToFit="false"/>
    </xf>
    <xf xfId="0" fontId="5" numFmtId="0" fillId="0" borderId="0" applyFont="1" applyNumberFormat="0" applyFill="0" applyBorder="0" applyAlignment="1">
      <alignment horizontal="left" vertical="center" textRotation="0" wrapText="false" shrinkToFit="false"/>
    </xf>
    <xf xfId="0" fontId="10" numFmtId="0" fillId="0" borderId="0" applyFont="1" applyNumberFormat="0" applyFill="0" applyBorder="0" applyAlignment="1">
      <alignment horizontal="center" vertical="bottom" textRotation="0" wrapText="false" shrinkToFit="false"/>
    </xf>
    <xf xfId="0" fontId="6" numFmtId="0" fillId="8" borderId="9" applyFont="1" applyNumberFormat="0" applyFill="1" applyBorder="1" applyAlignment="1">
      <alignment horizontal="center" vertical="top" textRotation="0" wrapText="true" shrinkToFit="false"/>
    </xf>
    <xf xfId="0" fontId="6" numFmtId="0" fillId="0" borderId="9" applyFont="1" applyNumberFormat="0" applyFill="0" applyBorder="1" applyAlignment="0"/>
    <xf xfId="0" fontId="7" numFmtId="0" fillId="0" borderId="4" applyFont="1" applyNumberFormat="0" applyFill="0" applyBorder="1" applyAlignment="1">
      <alignment horizontal="center" vertical="center" textRotation="0" wrapText="false" shrinkToFit="false"/>
    </xf>
    <xf xfId="0" fontId="7" numFmtId="0" fillId="0" borderId="2" applyFont="1" applyNumberFormat="0" applyFill="0" applyBorder="1" applyAlignment="1">
      <alignment horizontal="center" vertical="center" textRotation="0" wrapText="false" shrinkToFit="false"/>
    </xf>
    <xf xfId="0" fontId="7" numFmtId="0" fillId="0" borderId="1"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top" textRotation="0" wrapText="true" shrinkToFit="false"/>
    </xf>
    <xf xfId="0" fontId="12" numFmtId="0" fillId="0" borderId="3" applyFont="1" applyNumberFormat="0" applyFill="0" applyBorder="1" applyAlignment="1">
      <alignment horizontal="center" vertical="center" textRotation="0" wrapText="true" shrinkToFit="false"/>
    </xf>
    <xf xfId="0" fontId="3" numFmtId="0" fillId="0" borderId="4" applyFont="1" applyNumberFormat="0" applyFill="0" applyBorder="1" applyAlignment="0"/>
    <xf xfId="0" fontId="3" numFmtId="0" fillId="0" borderId="2" applyFont="1" applyNumberFormat="0" applyFill="0" applyBorder="1" applyAlignment="0"/>
    <xf xfId="0" fontId="13" numFmtId="0" fillId="0" borderId="19" applyFont="1" applyNumberFormat="0" applyFill="0" applyBorder="1" applyAlignment="1">
      <alignment horizontal="center" vertical="center" textRotation="0" wrapText="false" shrinkToFit="false"/>
    </xf>
    <xf xfId="0" fontId="3" numFmtId="0" fillId="0" borderId="20" applyFont="1" applyNumberFormat="0" applyFill="0" applyBorder="1" applyAlignment="0"/>
    <xf xfId="0" fontId="3" numFmtId="0" fillId="0" borderId="21" applyFont="1" applyNumberFormat="0" applyFill="0" applyBorder="1" applyAlignment="0"/>
    <xf xfId="0" fontId="12" numFmtId="0" fillId="0" borderId="19" applyFont="1" applyNumberFormat="0" applyFill="0" applyBorder="1" applyAlignment="1">
      <alignment horizontal="center" vertical="center" textRotation="0" wrapText="true" shrinkToFit="false"/>
    </xf>
    <xf xfId="0" fontId="12" numFmtId="0" fillId="0" borderId="19" applyFont="1" applyNumberFormat="0" applyFill="0" applyBorder="1" applyAlignment="1">
      <alignment horizontal="center" vertical="center" textRotation="0" wrapText="false" shrinkToFit="false"/>
    </xf>
    <xf xfId="0" fontId="12" numFmtId="0" fillId="0" borderId="0" applyFont="1" applyNumberFormat="0" applyFill="0" applyBorder="0" applyAlignment="1">
      <alignment horizontal="center" vertical="bottom" textRotation="0" wrapText="false" shrinkToFit="false"/>
    </xf>
    <xf xfId="0" fontId="12" numFmtId="0" fillId="0" borderId="2" applyFont="1" applyNumberFormat="0" applyFill="0" applyBorder="1" applyAlignment="1">
      <alignment horizontal="center" vertical="center" textRotation="0" wrapText="true" shrinkToFit="false"/>
    </xf>
    <xf xfId="0" fontId="12" numFmtId="0" fillId="0" borderId="21" applyFont="1" applyNumberFormat="0" applyFill="0" applyBorder="1" applyAlignment="1">
      <alignment horizontal="center" vertical="center" textRotation="0" wrapText="true" shrinkToFit="false"/>
    </xf>
    <xf xfId="0" fontId="12" numFmtId="0" fillId="0" borderId="0" applyFont="1" applyNumberFormat="0" applyFill="0" applyBorder="0" applyAlignment="1">
      <alignment horizontal="left" vertical="bottom" textRotation="0" wrapText="false" shrinkToFit="false"/>
    </xf>
    <xf xfId="0" fontId="13" numFmtId="0" fillId="0" borderId="0" applyFont="1" applyNumberFormat="0" applyFill="0" applyBorder="0" applyAlignment="1">
      <alignment horizontal="center" vertical="bottom" textRotation="0" wrapText="false" shrinkToFit="false"/>
    </xf>
    <xf xfId="0" fontId="0" numFmtId="0" fillId="0" borderId="9" applyFont="0" applyNumberFormat="0" applyFill="0" applyBorder="1" applyAlignment="1">
      <alignment horizontal="left" vertical="center" textRotation="0" wrapText="true" shrinkToFit="false"/>
    </xf>
    <xf xfId="0" fontId="0" numFmtId="0" fillId="0" borderId="22" applyFont="0"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center" textRotation="0" wrapText="false" shrinkToFit="false"/>
    </xf>
    <xf xfId="0" fontId="4" numFmtId="0" fillId="0" borderId="3" applyFont="1" applyNumberFormat="0" applyFill="0" applyBorder="1" applyAlignment="1">
      <alignment horizontal="right" vertical="center" textRotation="0" wrapText="true" shrinkToFit="false"/>
    </xf>
    <xf xfId="0" fontId="4" numFmtId="0" fillId="0" borderId="2" applyFont="1" applyNumberFormat="0" applyFill="0" applyBorder="1" applyAlignment="1">
      <alignment horizontal="right" vertical="center" textRotation="0" wrapText="true" shrinkToFit="false"/>
    </xf>
    <xf xfId="0" fontId="4" numFmtId="0" fillId="0" borderId="3" applyFont="1" applyNumberFormat="0" applyFill="0" applyBorder="1" applyAlignment="1">
      <alignment horizontal="left" vertical="center" textRotation="0" wrapText="true" shrinkToFit="false"/>
    </xf>
    <xf xfId="0" fontId="4" numFmtId="0" fillId="0" borderId="2" applyFont="1" applyNumberFormat="0" applyFill="0" applyBorder="1" applyAlignment="1">
      <alignment horizontal="left" vertical="center" textRotation="0" wrapText="true" shrinkToFit="false"/>
    </xf>
    <xf xfId="0" fontId="4" numFmtId="0" fillId="0" borderId="3" applyFont="1" applyNumberFormat="0" applyFill="0" applyBorder="1" applyAlignment="1">
      <alignment horizontal="center" vertical="center" textRotation="0" wrapText="true" shrinkToFit="false"/>
    </xf>
    <xf xfId="0" fontId="4" numFmtId="0" fillId="0" borderId="2" applyFont="1" applyNumberFormat="0" applyFill="0" applyBorder="1" applyAlignment="1">
      <alignment horizontal="center" vertical="center" textRotation="0" wrapText="true" shrinkToFit="false"/>
    </xf>
    <xf xfId="0" fontId="0" numFmtId="0" fillId="0" borderId="3" applyFont="0" applyNumberFormat="0" applyFill="0" applyBorder="1" applyAlignment="1">
      <alignment horizontal="center" vertical="center" textRotation="0" wrapText="true" shrinkToFit="false"/>
    </xf>
    <xf xfId="0" fontId="0" numFmtId="0" fillId="0" borderId="2" applyFont="0" applyNumberFormat="0" applyFill="0" applyBorder="1" applyAlignment="1">
      <alignment horizontal="center" vertical="center" textRotation="0" wrapText="true" shrinkToFit="false"/>
    </xf>
    <xf xfId="0" fontId="4" numFmtId="0" fillId="0" borderId="19" applyFont="1" applyNumberFormat="0" applyFill="0" applyBorder="1" applyAlignment="1">
      <alignment horizontal="center" vertical="center" textRotation="0" wrapText="true" shrinkToFit="false"/>
    </xf>
    <xf xfId="0" fontId="4" numFmtId="0" fillId="0" borderId="21" applyFont="1" applyNumberFormat="0" applyFill="0" applyBorder="1" applyAlignment="1">
      <alignment horizontal="center" vertical="center" textRotation="0" wrapText="true" shrinkToFit="false"/>
    </xf>
    <xf xfId="0" fontId="18" numFmtId="0" fillId="0" borderId="0" applyFont="1" applyNumberFormat="0" applyFill="0" applyBorder="0" applyAlignment="1">
      <alignment horizontal="left" vertical="bottom" textRotation="0" wrapText="false" shrinkToFit="false"/>
    </xf>
    <xf xfId="0" fontId="16" numFmtId="0" fillId="0" borderId="0" applyFont="1" applyNumberFormat="0" applyFill="0" applyBorder="0" applyAlignment="1">
      <alignment horizontal="center" vertical="bottom" textRotation="0" wrapText="false" shrinkToFit="false"/>
    </xf>
    <xf xfId="0" fontId="16" numFmtId="0" fillId="0" borderId="0" applyFont="1" applyNumberFormat="0" applyFill="0" applyBorder="0" applyAlignment="0"/>
    <xf xfId="0" fontId="14" numFmtId="0" fillId="0" borderId="0" applyFont="1" applyNumberFormat="0" applyFill="0" applyBorder="0" applyAlignment="1">
      <alignment horizontal="center" vertical="bottom" textRotation="0" wrapText="false" shrinkToFit="false"/>
    </xf>
    <xf xfId="0" fontId="19" numFmtId="0" fillId="0" borderId="0" applyFont="1" applyNumberFormat="0" applyFill="0" applyBorder="0" applyAlignment="1">
      <alignment horizontal="center" vertical="bottom" textRotation="0" wrapText="false" shrinkToFit="false"/>
    </xf>
    <xf xfId="0" fontId="20" numFmtId="0" fillId="0" borderId="0" applyFont="1" applyNumberFormat="0" applyFill="0" applyBorder="0" applyAlignment="0"/>
    <xf xfId="0" fontId="14" numFmtId="0" fillId="0" borderId="0" applyFont="1" applyNumberFormat="0" applyFill="0" applyBorder="0" applyAlignment="0"/>
    <xf xfId="0" fontId="14" numFmtId="0" fillId="0" borderId="0" applyFont="1" applyNumberFormat="0" applyFill="0" applyBorder="0" applyAlignment="0"/>
    <xf xfId="0" fontId="14" numFmtId="0" fillId="0" borderId="0" applyFont="1" applyNumberFormat="0" applyFill="0" applyBorder="0" applyAlignment="1">
      <alignment horizontal="left" vertical="center" textRotation="0" wrapText="false" shrinkToFit="false"/>
    </xf>
    <xf xfId="0" fontId="16" numFmtId="0" fillId="0" borderId="23" applyFont="1" applyNumberFormat="0" applyFill="0" applyBorder="1" applyAlignment="1">
      <alignment horizontal="center" vertical="center" textRotation="0" wrapText="false" shrinkToFit="false"/>
    </xf>
    <xf xfId="0" fontId="14" numFmtId="0" fillId="0" borderId="24" applyFont="1" applyNumberFormat="0" applyFill="0" applyBorder="1" applyAlignment="1">
      <alignment horizontal="center" vertical="center" textRotation="0" wrapText="false" shrinkToFit="false"/>
    </xf>
    <xf xfId="0" fontId="16" numFmtId="0" fillId="0" borderId="25" applyFont="1" applyNumberFormat="0" applyFill="0" applyBorder="1" applyAlignment="1">
      <alignment horizontal="center" vertical="center" textRotation="0" wrapText="false" shrinkToFit="false"/>
    </xf>
    <xf xfId="0" fontId="14" numFmtId="0" fillId="0" borderId="1" applyFont="1" applyNumberFormat="0" applyFill="0" applyBorder="1" applyAlignment="1">
      <alignment horizontal="center" vertical="center" textRotation="0" wrapText="false" shrinkToFit="false"/>
    </xf>
    <xf xfId="0" fontId="16" numFmtId="0" fillId="3" borderId="25" applyFont="1" applyNumberFormat="0" applyFill="1" applyBorder="1" applyAlignment="1">
      <alignment horizontal="center" vertical="center" textRotation="0" wrapText="true" shrinkToFit="false"/>
    </xf>
    <xf xfId="0" fontId="16" numFmtId="0" fillId="3" borderId="1" applyFont="1" applyNumberFormat="0" applyFill="1" applyBorder="1" applyAlignment="1">
      <alignment horizontal="center" vertical="center" textRotation="0" wrapText="true" shrinkToFit="false"/>
    </xf>
    <xf xfId="0" fontId="16" numFmtId="164" fillId="0" borderId="25" applyFont="1" applyNumberFormat="1" applyFill="0" applyBorder="1" applyAlignment="1">
      <alignment horizontal="center" vertical="center" textRotation="0" wrapText="true" shrinkToFit="false"/>
    </xf>
    <xf xfId="0" fontId="14" numFmtId="164" fillId="0" borderId="1" applyFont="1" applyNumberFormat="1" applyFill="0" applyBorder="1" applyAlignment="1">
      <alignment horizontal="center" vertical="center" textRotation="0" wrapText="false" shrinkToFit="false"/>
    </xf>
    <xf xfId="0" fontId="21" numFmtId="0" fillId="0" borderId="26" applyFont="1" applyNumberFormat="0" applyFill="0" applyBorder="1" applyAlignment="1">
      <alignment horizontal="center" vertical="center" textRotation="0" wrapText="true" shrinkToFit="false"/>
    </xf>
    <xf xfId="0" fontId="21" numFmtId="0" fillId="0" borderId="27" applyFont="1" applyNumberFormat="0" applyFill="0" applyBorder="1" applyAlignment="1">
      <alignment horizontal="center" vertical="center" textRotation="0" wrapText="false" shrinkToFit="false"/>
    </xf>
    <xf xfId="0" fontId="16" numFmtId="2" fillId="3" borderId="25" applyFont="1" applyNumberFormat="1" applyFill="1" applyBorder="1" applyAlignment="1">
      <alignment horizontal="center" vertical="center" textRotation="0" wrapText="true" shrinkToFit="false"/>
    </xf>
    <xf xfId="0" fontId="14" numFmtId="2" fillId="0" borderId="1" applyFont="1" applyNumberFormat="1" applyFill="0" applyBorder="1" applyAlignment="1">
      <alignment horizontal="center" vertical="center" textRotation="0" wrapText="false" shrinkToFit="false"/>
    </xf>
    <xf xfId="0" fontId="14" numFmtId="0" fillId="0" borderId="25" applyFont="1" applyNumberFormat="0" applyFill="0" applyBorder="1" applyAlignment="1">
      <alignment horizontal="center" vertical="center" textRotation="0" wrapText="false" shrinkToFit="false"/>
    </xf>
    <xf xfId="0" fontId="21" numFmtId="0" fillId="0" borderId="25" applyFont="1" applyNumberFormat="0" applyFill="0" applyBorder="1" applyAlignment="1">
      <alignment horizontal="center" vertical="center" textRotation="0" wrapText="true" shrinkToFit="false"/>
    </xf>
    <xf xfId="0" fontId="21" numFmtId="0" fillId="0" borderId="1" applyFont="1" applyNumberFormat="0" applyFill="0" applyBorder="1" applyAlignment="1">
      <alignment horizontal="center" vertical="center" textRotation="0" wrapText="false" shrinkToFit="false"/>
    </xf>
    <xf xfId="0" fontId="21" numFmtId="0" fillId="0" borderId="1" applyFont="1" applyNumberFormat="0" applyFill="0"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e98610f468425a6261e6e3f7f0c0a099.png"/><Relationship Id="rId2" Type="http://schemas.openxmlformats.org/officeDocument/2006/relationships/image" Target="../media/3a1c87b085dbb4afe372f7f6219a3f0f.png"/><Relationship Id="rId3" Type="http://schemas.openxmlformats.org/officeDocument/2006/relationships/image" Target="../media/e98610f468425a6261e6e3f7f0c0a099.png"/><Relationship Id="rId4" Type="http://schemas.openxmlformats.org/officeDocument/2006/relationships/image" Target="../media/ebf78fee93e6b78a5abb15f9455127de.png"/><Relationship Id="rId5" Type="http://schemas.openxmlformats.org/officeDocument/2006/relationships/image" Target="../media/ebf78fee93e6b78a5abb15f9455127de.png"/><Relationship Id="rId6" Type="http://schemas.openxmlformats.org/officeDocument/2006/relationships/image" Target="../media/ebf78fee93e6b78a5abb15f9455127de.png"/><Relationship Id="rId7" Type="http://schemas.openxmlformats.org/officeDocument/2006/relationships/image" Target="../media/ebf78fee93e6b78a5abb15f9455127de.png"/></Relationships>
</file>

<file path=xl/drawings/_rels/drawing5.xml.rels><?xml version="1.0" encoding="UTF-8" standalone="yes"?>
<Relationships xmlns="http://schemas.openxmlformats.org/package/2006/relationships"><Relationship Id="rId1" Type="http://schemas.openxmlformats.org/officeDocument/2006/relationships/image" Target="../media/e98610f468425a6261e6e3f7f0c0a099.png"/><Relationship Id="rId2" Type="http://schemas.openxmlformats.org/officeDocument/2006/relationships/image" Target="../media/3a1c87b085dbb4afe372f7f6219a3f0f.png"/></Relationships>
</file>

<file path=xl/drawings/drawing2.xml><?xml version="1.0" encoding="utf-8"?>
<xdr:wsDr xmlns:xdr="http://schemas.openxmlformats.org/drawingml/2006/spreadsheetDrawing" xmlns:a="http://schemas.openxmlformats.org/drawingml/2006/main">
  <xdr:oneCellAnchor>
    <xdr:from>
      <xdr:col>0</xdr:col>
      <xdr:colOff>66675</xdr:colOff>
      <xdr:row>1</xdr:row>
      <xdr:rowOff>0</xdr:rowOff>
    </xdr:from>
    <xdr:ext cx="647700" cy="533400"/>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17</xdr:col>
      <xdr:colOff>981075</xdr:colOff>
      <xdr:row>1</xdr:row>
      <xdr:rowOff>9525</xdr:rowOff>
    </xdr:from>
    <xdr:ext cx="752475" cy="409575"/>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3" name="image2.png"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3</xdr:row>
      <xdr:rowOff>152400</xdr:rowOff>
    </xdr:to>
    <xdr:pic>
      <xdr:nvPicPr>
        <xdr:cNvPr id="4" name="image2.png"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5" name="Picture 2" descr=""/>
        <xdr:cNvPicPr>
          <a:picLocks noChangeAspect="1"/>
        </xdr:cNvPicPr>
      </xdr:nvPicPr>
      <xdr:blipFill>
        <a:blip xmlns:r="http://schemas.openxmlformats.org/officeDocument/2006/relationships" r:embed="rId5"/>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6" name="image2.png" descr=""/>
        <xdr:cNvPicPr>
          <a:picLocks noChangeAspect="1"/>
        </xdr:cNvPicPr>
      </xdr:nvPicPr>
      <xdr:blipFill>
        <a:blip xmlns:r="http://schemas.openxmlformats.org/officeDocument/2006/relationships" r:embed="rId6"/>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7" name="Picture 2" descr=""/>
        <xdr:cNvPicPr>
          <a:picLocks noChangeAspect="1"/>
        </xdr:cNvPicPr>
      </xdr:nvPicPr>
      <xdr:blipFill>
        <a:blip xmlns:r="http://schemas.openxmlformats.org/officeDocument/2006/relationships" r:embed="rId7"/>
        <a:stretch>
          <a:fillRect/>
        </a:stretch>
      </xdr:blipFill>
      <xdr:spPr>
        <a:xfrm rot="0">
          <a:ext cx="638175" cy="533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142875</xdr:colOff>
      <xdr:row>1</xdr:row>
      <xdr:rowOff>57150</xdr:rowOff>
    </xdr:from>
    <xdr:ext cx="647700" cy="5524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18</xdr:col>
      <xdr:colOff>400050</xdr:colOff>
      <xdr:row>1</xdr:row>
      <xdr:rowOff>123825</xdr:rowOff>
    </xdr:from>
    <xdr:ext cx="742950" cy="40957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A71"/>
  <sheetViews>
    <sheetView tabSelected="1" workbookViewId="0" view="pageBreakPreview" showGridLines="true" showRowColHeaders="1">
      <selection activeCell="X60" sqref="X60"/>
    </sheetView>
  </sheetViews>
  <sheetFormatPr defaultRowHeight="14.4" outlineLevelRow="0" outlineLevelCol="0"/>
  <cols>
    <col min="1" max="1" width="14.453125" customWidth="true" style="33"/>
    <col min="15" max="15" width="14.453125" customWidth="true" style="33"/>
  </cols>
  <sheetData>
    <row r="1" spans="1:27">
      <c r="A1" s="69" t="s">
        <v>0</v>
      </c>
      <c r="B1" s="70"/>
      <c r="C1" s="70"/>
      <c r="D1" s="70"/>
      <c r="E1" s="70"/>
      <c r="F1" s="70"/>
      <c r="G1" s="70"/>
      <c r="H1" s="70"/>
      <c r="I1" s="70"/>
      <c r="J1" s="71"/>
      <c r="O1" s="69" t="str">
        <f>A1</f>
        <v>Department of Education 
Bureau of Learner Support Services 
SCHOOL HEALTH DIVISION 
NUTRITIONAL STATUS REPORT OF KALASUNGAY ELEMENTARY SCHOOL
BASELINE (August) SY 2025-2026</v>
      </c>
      <c r="P1" s="78"/>
      <c r="Q1" s="78"/>
      <c r="R1" s="78"/>
      <c r="S1" s="78"/>
      <c r="T1" s="78"/>
      <c r="U1" s="78"/>
      <c r="V1" s="78"/>
      <c r="W1" s="78"/>
      <c r="X1" s="79"/>
    </row>
    <row r="2" spans="1:27">
      <c r="A2" s="72"/>
      <c r="B2" s="73"/>
      <c r="C2" s="73"/>
      <c r="D2" s="73"/>
      <c r="E2" s="73"/>
      <c r="F2" s="73"/>
      <c r="G2" s="73"/>
      <c r="H2" s="73"/>
      <c r="I2" s="73"/>
      <c r="J2" s="74"/>
      <c r="O2" s="80"/>
      <c r="P2" s="81"/>
      <c r="Q2" s="81"/>
      <c r="R2" s="81"/>
      <c r="S2" s="81"/>
      <c r="T2" s="81"/>
      <c r="U2" s="81"/>
      <c r="V2" s="81"/>
      <c r="W2" s="81"/>
      <c r="X2" s="82"/>
    </row>
    <row r="3" spans="1:27">
      <c r="A3" s="72"/>
      <c r="B3" s="73"/>
      <c r="C3" s="73"/>
      <c r="D3" s="73"/>
      <c r="E3" s="73"/>
      <c r="F3" s="73"/>
      <c r="G3" s="73"/>
      <c r="H3" s="73"/>
      <c r="I3" s="73"/>
      <c r="J3" s="74"/>
      <c r="O3" s="80"/>
      <c r="P3" s="81"/>
      <c r="Q3" s="81"/>
      <c r="R3" s="81"/>
      <c r="S3" s="81"/>
      <c r="T3" s="81"/>
      <c r="U3" s="81"/>
      <c r="V3" s="81"/>
      <c r="W3" s="81"/>
      <c r="X3" s="82"/>
    </row>
    <row r="4" spans="1:27">
      <c r="A4" s="72"/>
      <c r="B4" s="73"/>
      <c r="C4" s="73"/>
      <c r="D4" s="73"/>
      <c r="E4" s="73"/>
      <c r="F4" s="73"/>
      <c r="G4" s="73"/>
      <c r="H4" s="73"/>
      <c r="I4" s="73"/>
      <c r="J4" s="74"/>
      <c r="O4" s="80"/>
      <c r="P4" s="81"/>
      <c r="Q4" s="81"/>
      <c r="R4" s="81"/>
      <c r="S4" s="81"/>
      <c r="T4" s="81"/>
      <c r="U4" s="81"/>
      <c r="V4" s="81"/>
      <c r="W4" s="81"/>
      <c r="X4" s="82"/>
    </row>
    <row r="5" spans="1:27">
      <c r="A5" s="72"/>
      <c r="B5" s="73"/>
      <c r="C5" s="73"/>
      <c r="D5" s="73"/>
      <c r="E5" s="73"/>
      <c r="F5" s="73"/>
      <c r="G5" s="73"/>
      <c r="H5" s="73"/>
      <c r="I5" s="73"/>
      <c r="J5" s="74"/>
      <c r="O5" s="80"/>
      <c r="P5" s="81"/>
      <c r="Q5" s="81"/>
      <c r="R5" s="81"/>
      <c r="S5" s="81"/>
      <c r="T5" s="81"/>
      <c r="U5" s="81"/>
      <c r="V5" s="81"/>
      <c r="W5" s="81"/>
      <c r="X5" s="82"/>
    </row>
    <row r="6" spans="1:27">
      <c r="A6" s="72"/>
      <c r="B6" s="73"/>
      <c r="C6" s="73"/>
      <c r="D6" s="73"/>
      <c r="E6" s="73"/>
      <c r="F6" s="73"/>
      <c r="G6" s="73"/>
      <c r="H6" s="73"/>
      <c r="I6" s="73"/>
      <c r="J6" s="74"/>
      <c r="O6" s="80"/>
      <c r="P6" s="81"/>
      <c r="Q6" s="81"/>
      <c r="R6" s="81"/>
      <c r="S6" s="81"/>
      <c r="T6" s="81"/>
      <c r="U6" s="81"/>
      <c r="V6" s="81"/>
      <c r="W6" s="81"/>
      <c r="X6" s="82"/>
    </row>
    <row r="7" spans="1:27" customHeight="1" ht="15">
      <c r="A7" s="75"/>
      <c r="B7" s="76"/>
      <c r="C7" s="76"/>
      <c r="D7" s="76"/>
      <c r="E7" s="76"/>
      <c r="F7" s="76"/>
      <c r="G7" s="76"/>
      <c r="H7" s="76"/>
      <c r="I7" s="76"/>
      <c r="J7" s="77"/>
      <c r="O7" s="83"/>
      <c r="P7" s="84"/>
      <c r="Q7" s="84"/>
      <c r="R7" s="84"/>
      <c r="S7" s="84"/>
      <c r="T7" s="84"/>
      <c r="U7" s="84"/>
      <c r="V7" s="84"/>
      <c r="W7" s="84"/>
      <c r="X7" s="85"/>
    </row>
    <row r="8" spans="1:27" customHeight="1" ht="29">
      <c r="A8" s="2" t="s">
        <v>1</v>
      </c>
      <c r="B8" s="86" t="s">
        <v>2</v>
      </c>
      <c r="C8" s="87"/>
      <c r="D8" s="87"/>
      <c r="E8" s="87"/>
      <c r="F8" s="87"/>
      <c r="G8" s="87"/>
      <c r="H8" s="87"/>
      <c r="I8" s="87"/>
      <c r="J8" s="88"/>
      <c r="O8" s="2" t="str">
        <f>A8</f>
        <v>MALAYBALAY 
CITY DIVISION </v>
      </c>
      <c r="P8" s="86" t="s">
        <v>3</v>
      </c>
      <c r="Q8" s="87"/>
      <c r="R8" s="87"/>
      <c r="S8" s="87"/>
      <c r="T8" s="87"/>
      <c r="U8" s="87"/>
      <c r="V8" s="87"/>
      <c r="W8" s="87"/>
      <c r="X8" s="88"/>
    </row>
    <row r="9" spans="1:27" customHeight="1" ht="29">
      <c r="A9" s="2" t="s">
        <v>4</v>
      </c>
      <c r="B9" s="2" t="s">
        <v>5</v>
      </c>
      <c r="C9" s="2" t="s">
        <v>6</v>
      </c>
      <c r="D9" s="2" t="s">
        <v>7</v>
      </c>
      <c r="E9" s="2" t="s">
        <v>8</v>
      </c>
      <c r="F9" s="3" t="s">
        <v>9</v>
      </c>
      <c r="G9" s="2" t="s">
        <v>10</v>
      </c>
      <c r="H9" s="2" t="s">
        <v>11</v>
      </c>
      <c r="I9" s="2" t="s">
        <v>12</v>
      </c>
      <c r="J9" s="2" t="s">
        <v>13</v>
      </c>
      <c r="K9" s="4"/>
      <c r="L9" s="4"/>
      <c r="M9" s="4"/>
      <c r="N9" s="4"/>
      <c r="O9" s="2" t="str">
        <f>A9</f>
        <v>Primary Beneficiaries</v>
      </c>
      <c r="P9" s="2" t="s">
        <v>5</v>
      </c>
      <c r="Q9" s="2" t="s">
        <v>6</v>
      </c>
      <c r="R9" s="2" t="s">
        <v>7</v>
      </c>
      <c r="S9" s="2" t="s">
        <v>8</v>
      </c>
      <c r="T9" s="3" t="s">
        <v>9</v>
      </c>
      <c r="U9" s="2" t="s">
        <v>10</v>
      </c>
      <c r="V9" s="2" t="s">
        <v>11</v>
      </c>
      <c r="W9" s="2" t="s">
        <v>12</v>
      </c>
      <c r="X9" s="2" t="s">
        <v>13</v>
      </c>
      <c r="Y9" s="4"/>
      <c r="Z9" s="4"/>
    </row>
    <row r="10" spans="1:27">
      <c r="A10" s="66" t="s">
        <v>14</v>
      </c>
      <c r="B10" s="1" t="s">
        <v>15</v>
      </c>
      <c r="C10" s="1">
        <f>_xlfn.COUNTIFS(#REF!, "m",#REF!, "*severely wasted*",#REF!, "*k*")</f>
        <v>0</v>
      </c>
      <c r="D10" s="1">
        <f>_xlfn.COUNTIFS(#REF!, "m",#REF!, "wasted",#REF!, "*k*")</f>
        <v>0</v>
      </c>
      <c r="E10" s="1">
        <f>_xlfn.COUNTIFS(#REF!, "m",#REF!, "*normal*",#REF!, "*k*")</f>
        <v>0</v>
      </c>
      <c r="F10" s="1">
        <f>_xlfn.COUNTIFS(#REF!, "m",#REF!, "overweight",#REF!, "*k*")
+ _xlfn.COUNTIFS(#REF!, "m",#REF!, "obese",#REF!, "*k*")</f>
        <v>0</v>
      </c>
      <c r="G10" s="1">
        <f>_xlfn.COUNTIFS(#REF!, "m",#REF!, "*severely stunted*",#REF!, "*k*")</f>
        <v>0</v>
      </c>
      <c r="H10" s="1">
        <f>_xlfn.COUNTIFS(#REF!, "m",#REF!, "stunted",#REF!, "*k*")</f>
        <v>0</v>
      </c>
      <c r="I10" s="1">
        <f>_xlfn.COUNTIFS(#REF!, "m",#REF!, "*normal*",#REF!, "*k*")</f>
        <v>0</v>
      </c>
      <c r="J10" s="1">
        <f>_xlfn.COUNTIFS(#REF!, "m",#REF!, "tall",#REF!, "*k*")</f>
        <v>0</v>
      </c>
      <c r="L10">
        <f>SUM(C10:F10)</f>
        <v>0</v>
      </c>
      <c r="M10">
        <f>SUM(G10:J10)</f>
        <v>0</v>
      </c>
      <c r="O10" s="52" t="str">
        <f>A10</f>
        <v>kinder</v>
      </c>
      <c r="P10" s="1" t="s">
        <v>15</v>
      </c>
      <c r="Q10" s="1">
        <f>C10</f>
        <v>0</v>
      </c>
      <c r="R10" s="1">
        <f>D10</f>
        <v>0</v>
      </c>
      <c r="S10" s="1">
        <f>E10</f>
        <v>0</v>
      </c>
      <c r="T10" s="1">
        <f>F10</f>
        <v>0</v>
      </c>
      <c r="U10" s="1">
        <f>G10</f>
        <v>0</v>
      </c>
      <c r="V10" s="1">
        <f>H10</f>
        <v>0</v>
      </c>
      <c r="W10" s="1">
        <f>I10</f>
        <v>0</v>
      </c>
      <c r="X10" s="1">
        <f>J10</f>
        <v>0</v>
      </c>
      <c r="Z10">
        <f>SUM(Q10:T10)</f>
        <v>0</v>
      </c>
      <c r="AA10">
        <f>SUM(U10:X10)</f>
        <v>0</v>
      </c>
    </row>
    <row r="11" spans="1:27">
      <c r="A11" s="53"/>
      <c r="B11" s="1" t="s">
        <v>16</v>
      </c>
      <c r="C11" s="1">
        <f>_xlfn.COUNTIFS(#REF!, "f",#REF!, "*severely wasted*",#REF!, "*k*")</f>
        <v>0</v>
      </c>
      <c r="D11" s="1">
        <f>_xlfn.COUNTIFS(#REF!, "f",#REF!, "wasted",#REF!, "*k*")</f>
        <v>0</v>
      </c>
      <c r="E11" s="1">
        <f>_xlfn.COUNTIFS(#REF!, "f",#REF!, "*normal*",#REF!, "*k*")</f>
        <v>0</v>
      </c>
      <c r="F11" s="1">
        <f>_xlfn.COUNTIFS(#REF!, "f",#REF!, "overweight",#REF!, "*k*")
+ _xlfn.COUNTIFS(#REF!, "f",#REF!, "obese",#REF!, "*k*")</f>
        <v>0</v>
      </c>
      <c r="G11" s="1">
        <f>_xlfn.COUNTIFS(#REF!, "f",#REF!, "*severely stunted*",#REF!, "*k*")</f>
        <v>0</v>
      </c>
      <c r="H11" s="1">
        <f>_xlfn.COUNTIFS(#REF!, "f",#REF!, "stunted",#REF!, "*k*")</f>
        <v>0</v>
      </c>
      <c r="I11" s="1">
        <f>_xlfn.COUNTIFS(#REF!, "f",#REF!, "*normal*",#REF!, "*k*")</f>
        <v>0</v>
      </c>
      <c r="J11" s="1">
        <f>_xlfn.COUNTIFS(#REF!, "f",#REF!, "tall",#REF!, "*k*")</f>
        <v>0</v>
      </c>
      <c r="L11">
        <f>SUM(C11:F11)</f>
        <v>0</v>
      </c>
      <c r="M11">
        <f>SUM(G11:J11)</f>
        <v>0</v>
      </c>
      <c r="O11" s="64"/>
      <c r="P11" s="1" t="s">
        <v>16</v>
      </c>
      <c r="Q11" s="1">
        <f>C11</f>
        <v>0</v>
      </c>
      <c r="R11" s="1">
        <f>D11</f>
        <v>0</v>
      </c>
      <c r="S11" s="1">
        <f>E11</f>
        <v>0</v>
      </c>
      <c r="T11" s="1">
        <f>F11</f>
        <v>0</v>
      </c>
      <c r="U11" s="1">
        <f>G11</f>
        <v>0</v>
      </c>
      <c r="V11" s="1">
        <f>H11</f>
        <v>0</v>
      </c>
      <c r="W11" s="1">
        <f>I11</f>
        <v>0</v>
      </c>
      <c r="X11" s="1">
        <f>J11</f>
        <v>0</v>
      </c>
      <c r="Z11">
        <f>SUM(Q11:T11)</f>
        <v>0</v>
      </c>
      <c r="AA11">
        <f>SUM(U11:X11)</f>
        <v>0</v>
      </c>
    </row>
    <row r="12" spans="1:27">
      <c r="A12" s="54"/>
      <c r="B12" s="5" t="s">
        <v>17</v>
      </c>
      <c r="C12" s="5">
        <f>SUM(C10:C11)</f>
        <v>0</v>
      </c>
      <c r="D12" s="5">
        <f>SUM(D10:D11)</f>
        <v>0</v>
      </c>
      <c r="E12" s="5">
        <f>SUM(E10:E11)</f>
        <v>0</v>
      </c>
      <c r="F12" s="5">
        <f>SUM(F10:F11)</f>
        <v>0</v>
      </c>
      <c r="G12" s="5">
        <f>SUM(G10:G11)</f>
        <v>0</v>
      </c>
      <c r="H12" s="5">
        <f>SUM(H10:H11)</f>
        <v>0</v>
      </c>
      <c r="I12" s="5">
        <f>SUM(I10:I11)</f>
        <v>0</v>
      </c>
      <c r="J12" s="5">
        <f>SUM(J10:J11)</f>
        <v>0</v>
      </c>
      <c r="L12">
        <f>SUM(C12:F12)</f>
        <v>0</v>
      </c>
      <c r="M12">
        <f>SUM(G12:J12)</f>
        <v>0</v>
      </c>
      <c r="O12" s="65"/>
      <c r="P12" s="5" t="s">
        <v>17</v>
      </c>
      <c r="Q12" s="5">
        <f>SUM(Q10:Q11)</f>
        <v>0</v>
      </c>
      <c r="R12" s="5">
        <f>SUM(R10:R11)</f>
        <v>0</v>
      </c>
      <c r="S12" s="5">
        <f>SUM(S10:S11)</f>
        <v>0</v>
      </c>
      <c r="T12" s="5">
        <f>SUM(T10:T11)</f>
        <v>0</v>
      </c>
      <c r="U12" s="5">
        <f>SUM(U10:U11)</f>
        <v>0</v>
      </c>
      <c r="V12" s="5">
        <f>SUM(V10:V11)</f>
        <v>0</v>
      </c>
      <c r="W12" s="5">
        <f>SUM(W10:W11)</f>
        <v>0</v>
      </c>
      <c r="X12" s="5">
        <f>SUM(X10:X11)</f>
        <v>0</v>
      </c>
      <c r="Z12">
        <f>SUM(Q12:T12)</f>
        <v>0</v>
      </c>
      <c r="AA12">
        <f>SUM(U12:X12)</f>
        <v>0</v>
      </c>
    </row>
    <row r="13" spans="1:27">
      <c r="A13" s="66" t="s">
        <v>18</v>
      </c>
      <c r="B13" s="1" t="s">
        <v>15</v>
      </c>
      <c r="C13" s="1">
        <f>_xlfn.COUNTIFS(#REF!, "m",#REF!, "*severely wasted*",#REF!, "*1*")</f>
        <v>0</v>
      </c>
      <c r="D13" s="1">
        <f>_xlfn.COUNTIFS(#REF!, "m",#REF!, "wasted",#REF!, "*1*")</f>
        <v>0</v>
      </c>
      <c r="E13" s="1">
        <v>0</v>
      </c>
      <c r="F13" s="1">
        <v>0</v>
      </c>
      <c r="G13" s="1">
        <f>_xlfn.COUNTIFS(#REF!, "m",#REF!, "severely stunted",#REF!, "*1*",#REF!, "severely wasted")
+ _xlfn.COUNTIFS(#REF!, "m",#REF!, "severely stunted",#REF!, "*1*",#REF!, "wasted")</f>
        <v>0</v>
      </c>
      <c r="H13" s="1">
        <f>_xlfn.COUNTIFS(#REF!, "m",#REF!, "stunted",#REF!, "*1*",#REF!, "severely wasted")
+ _xlfn.COUNTIFS(#REF!, "m",#REF!, "stunted",#REF!, "*1*",#REF!, "wasted")</f>
        <v>0</v>
      </c>
      <c r="I13" s="1">
        <f>_xlfn.COUNTIFS(#REF!, "m",#REF!, "*normal*",#REF!, "*1*",#REF!, "severely wasted")
+ _xlfn.COUNTIFS(#REF!, "m",#REF!, "*normal*",#REF!, "*1*",#REF!, "wasted")</f>
        <v>0</v>
      </c>
      <c r="J13" s="1">
        <f>_xlfn.COUNTIFS(#REF!, "m",#REF!, "tall",#REF!, "*1*",#REF!, "severely wasted")
+ _xlfn.COUNTIFS(#REF!, "m",#REF!, "tall",#REF!, "*1*",#REF!, "wasted")</f>
        <v>0</v>
      </c>
      <c r="L13">
        <f>SUM(C13:F13)</f>
        <v>0</v>
      </c>
      <c r="M13">
        <f>SUM(G13:J13)</f>
        <v>0</v>
      </c>
      <c r="O13" s="52" t="s">
        <v>18</v>
      </c>
      <c r="P13" s="1" t="s">
        <v>15</v>
      </c>
      <c r="Q13" s="1">
        <f>C13</f>
        <v>0</v>
      </c>
      <c r="R13" s="1">
        <f>D13</f>
        <v>0</v>
      </c>
      <c r="S13" s="1">
        <f>E13</f>
        <v>0</v>
      </c>
      <c r="T13" s="1">
        <f>F13</f>
        <v>0</v>
      </c>
      <c r="U13" s="1">
        <f>G13</f>
        <v>0</v>
      </c>
      <c r="V13" s="1">
        <f>H13</f>
        <v>0</v>
      </c>
      <c r="W13" s="1">
        <f>I13</f>
        <v>0</v>
      </c>
      <c r="X13" s="1">
        <f>J13</f>
        <v>0</v>
      </c>
      <c r="Z13">
        <f>SUM(Q13:T13)</f>
        <v>0</v>
      </c>
      <c r="AA13">
        <f>SUM(U13:X13)</f>
        <v>0</v>
      </c>
    </row>
    <row r="14" spans="1:27">
      <c r="A14" s="53"/>
      <c r="B14" s="1" t="s">
        <v>16</v>
      </c>
      <c r="C14" s="1">
        <f>_xlfn.COUNTIFS(#REF!, "f",#REF!, "*severely wasted*",#REF!, "*1*")</f>
        <v>0</v>
      </c>
      <c r="D14" s="1">
        <f>_xlfn.COUNTIFS(#REF!, "f",#REF!, "wasted",#REF!, "*1*")</f>
        <v>0</v>
      </c>
      <c r="E14" s="1">
        <v>0</v>
      </c>
      <c r="F14" s="1">
        <v>0</v>
      </c>
      <c r="G14" s="1">
        <f>_xlfn.COUNTIFS(#REF!, "f",#REF!, "severely stunted",#REF!, "*1*",#REF!, "severely wasted")
+ _xlfn.COUNTIFS(#REF!, "f",#REF!, "severely stunted",#REF!, "*1*",#REF!, "wasted")</f>
        <v>0</v>
      </c>
      <c r="H14" s="1">
        <f>_xlfn.COUNTIFS(#REF!, "f",#REF!, "stunted",#REF!, "*1*",#REF!, "severely wasted")
+ _xlfn.COUNTIFS(#REF!, "f",#REF!, "stunted",#REF!, "*1*",#REF!, "wasted")</f>
        <v>0</v>
      </c>
      <c r="I14" s="1">
        <f>_xlfn.COUNTIFS(#REF!, "f",#REF!, "*normal*",#REF!, "*1*",#REF!, "severely wasted")
+ _xlfn.COUNTIFS(#REF!, "f",#REF!, "*normal*",#REF!, "*1*",#REF!, "wasted")</f>
        <v>0</v>
      </c>
      <c r="J14" s="1">
        <f>_xlfn.COUNTIFS(#REF!, "f",#REF!, "tall",#REF!, "*1*",#REF!, "severely wasted")
+ _xlfn.COUNTIFS(#REF!, "f",#REF!, "tall",#REF!, "*1*",#REF!, "wasted")</f>
        <v>0</v>
      </c>
      <c r="L14">
        <f>SUM(C14:F14)</f>
        <v>0</v>
      </c>
      <c r="M14">
        <f>SUM(G14:J14)</f>
        <v>0</v>
      </c>
      <c r="O14" s="64"/>
      <c r="P14" s="1" t="s">
        <v>16</v>
      </c>
      <c r="Q14" s="1">
        <f>C14</f>
        <v>0</v>
      </c>
      <c r="R14" s="1">
        <f>D14</f>
        <v>0</v>
      </c>
      <c r="S14" s="1">
        <f>E14</f>
        <v>0</v>
      </c>
      <c r="T14" s="1">
        <f>F14</f>
        <v>0</v>
      </c>
      <c r="U14" s="1">
        <f>G14</f>
        <v>0</v>
      </c>
      <c r="V14" s="1">
        <f>H14</f>
        <v>0</v>
      </c>
      <c r="W14" s="1">
        <f>I14</f>
        <v>0</v>
      </c>
      <c r="X14" s="1">
        <f>J14</f>
        <v>0</v>
      </c>
      <c r="Z14">
        <f>SUM(Q14:T14)</f>
        <v>0</v>
      </c>
      <c r="AA14">
        <f>SUM(U14:X14)</f>
        <v>0</v>
      </c>
    </row>
    <row r="15" spans="1:27">
      <c r="A15" s="54"/>
      <c r="B15" s="5" t="s">
        <v>17</v>
      </c>
      <c r="C15" s="5">
        <f>SUM(C13:C14)</f>
        <v>0</v>
      </c>
      <c r="D15" s="5">
        <f>SUM(D13:D14)</f>
        <v>0</v>
      </c>
      <c r="E15" s="5">
        <f>SUM(E13:E14)</f>
        <v>0</v>
      </c>
      <c r="F15" s="5">
        <f>SUM(F13:F14)</f>
        <v>0</v>
      </c>
      <c r="G15" s="5">
        <f>SUM(G13:G14)</f>
        <v>0</v>
      </c>
      <c r="H15" s="5">
        <f>SUM(H13:H14)</f>
        <v>0</v>
      </c>
      <c r="I15" s="5">
        <f>SUM(I13:I14)</f>
        <v>0</v>
      </c>
      <c r="J15" s="5">
        <f>SUM(J13:J14)</f>
        <v>0</v>
      </c>
      <c r="L15">
        <f>SUM(C15:F15)</f>
        <v>0</v>
      </c>
      <c r="M15">
        <f>SUM(G15:J15)</f>
        <v>0</v>
      </c>
      <c r="O15" s="65"/>
      <c r="P15" s="5" t="s">
        <v>17</v>
      </c>
      <c r="Q15" s="5">
        <f>SUM(Q13:Q14)</f>
        <v>0</v>
      </c>
      <c r="R15" s="5">
        <f>SUM(R13:R14)</f>
        <v>0</v>
      </c>
      <c r="S15" s="5">
        <f>SUM(S13:S14)</f>
        <v>0</v>
      </c>
      <c r="T15" s="5">
        <f>SUM(T13:T14)</f>
        <v>0</v>
      </c>
      <c r="U15" s="5">
        <f>SUM(U13:U14)</f>
        <v>0</v>
      </c>
      <c r="V15" s="5">
        <f>SUM(V13:V14)</f>
        <v>0</v>
      </c>
      <c r="W15" s="5">
        <f>SUM(W13:W14)</f>
        <v>0</v>
      </c>
      <c r="X15" s="5">
        <f>SUM(X13:X14)</f>
        <v>0</v>
      </c>
      <c r="Z15">
        <f>SUM(Q15:T15)</f>
        <v>0</v>
      </c>
      <c r="AA15">
        <f>SUM(U15:X15)</f>
        <v>0</v>
      </c>
    </row>
    <row r="16" spans="1:27">
      <c r="A16" s="66" t="s">
        <v>19</v>
      </c>
      <c r="B16" s="1" t="s">
        <v>15</v>
      </c>
      <c r="C16" s="1">
        <f>_xlfn.COUNTIFS(#REF!, "m",#REF!, "*severely wasted*",#REF!, "*2*")</f>
        <v>0</v>
      </c>
      <c r="D16" s="1">
        <f>_xlfn.COUNTIFS(#REF!, "m",#REF!, "wasted",#REF!, "*2*")</f>
        <v>0</v>
      </c>
      <c r="E16" s="1">
        <v>0</v>
      </c>
      <c r="F16" s="1">
        <v>0</v>
      </c>
      <c r="G16" s="1">
        <f>_xlfn.COUNTIFS(#REF!, "m",#REF!, "severely stunted",#REF!, "*2*",#REF!, "severely wasted")
+ _xlfn.COUNTIFS(#REF!, "m",#REF!, "severely stunted",#REF!, "*2*",#REF!, "wasted")</f>
        <v>0</v>
      </c>
      <c r="H16" s="1">
        <f>_xlfn.COUNTIFS(#REF!, "m",#REF!, "stunted",#REF!, "*2*",#REF!, "severely wasted")
+ _xlfn.COUNTIFS(#REF!, "m",#REF!, "stunted",#REF!, "*2*",#REF!, "wasted")</f>
        <v>0</v>
      </c>
      <c r="I16" s="1">
        <f>_xlfn.COUNTIFS(#REF!, "m",#REF!, "*normal*",#REF!, "*2*",#REF!, "severely wasted")
+ _xlfn.COUNTIFS(#REF!, "m",#REF!, "*normal*",#REF!, "*2*",#REF!, "wasted")</f>
        <v>0</v>
      </c>
      <c r="J16" s="1">
        <f>_xlfn.COUNTIFS(#REF!, "m",#REF!, "tall",#REF!, "*2*",#REF!, "severely wasted")
+ _xlfn.COUNTIFS(#REF!, "m",#REF!, "tall",#REF!, "*2*",#REF!, "wasted")</f>
        <v>0</v>
      </c>
      <c r="L16">
        <f>SUM(C16:F16)</f>
        <v>0</v>
      </c>
      <c r="M16">
        <f>SUM(G16:J16)</f>
        <v>0</v>
      </c>
      <c r="O16" s="52" t="s">
        <v>19</v>
      </c>
      <c r="P16" s="1" t="s">
        <v>15</v>
      </c>
      <c r="Q16" s="1">
        <f>C16</f>
        <v>0</v>
      </c>
      <c r="R16" s="1">
        <f>D16</f>
        <v>0</v>
      </c>
      <c r="S16" s="1">
        <f>E16</f>
        <v>0</v>
      </c>
      <c r="T16" s="1">
        <f>F16</f>
        <v>0</v>
      </c>
      <c r="U16" s="1">
        <f>G16</f>
        <v>0</v>
      </c>
      <c r="V16" s="1">
        <f>H16</f>
        <v>0</v>
      </c>
      <c r="W16" s="1">
        <f>I16</f>
        <v>0</v>
      </c>
      <c r="X16" s="1">
        <f>J16</f>
        <v>0</v>
      </c>
      <c r="Z16">
        <f>SUM(Q16:T16)</f>
        <v>0</v>
      </c>
      <c r="AA16">
        <f>SUM(U16:X16)</f>
        <v>0</v>
      </c>
    </row>
    <row r="17" spans="1:27">
      <c r="A17" s="53"/>
      <c r="B17" s="1" t="s">
        <v>16</v>
      </c>
      <c r="C17" s="1">
        <f>_xlfn.COUNTIFS(#REF!, "f",#REF!, "*severely wasted*",#REF!, "*2*")</f>
        <v>0</v>
      </c>
      <c r="D17" s="1">
        <f>_xlfn.COUNTIFS(#REF!, "f",#REF!, "wasted",#REF!, "*2*")</f>
        <v>0</v>
      </c>
      <c r="E17" s="1">
        <v>0</v>
      </c>
      <c r="F17" s="1">
        <v>0</v>
      </c>
      <c r="G17" s="1">
        <f>_xlfn.COUNTIFS(#REF!, "f",#REF!, "severely stunted",#REF!, "*2*",#REF!, "severely wasted")
+ _xlfn.COUNTIFS(#REF!, "f",#REF!, "severely stunted",#REF!, "*2*",#REF!, "wasted")</f>
        <v>0</v>
      </c>
      <c r="H17" s="1">
        <f>_xlfn.COUNTIFS(#REF!, "f",#REF!, "stunted",#REF!, "*2*",#REF!, "severely wasted")
+ _xlfn.COUNTIFS(#REF!, "f",#REF!, "stunted",#REF!, "*2*",#REF!, "wasted")</f>
        <v>0</v>
      </c>
      <c r="I17" s="1">
        <f>_xlfn.COUNTIFS(#REF!, "f",#REF!, "*normal*",#REF!, "*2*",#REF!, "severely wasted")
+ _xlfn.COUNTIFS(#REF!, "f",#REF!, "*normal*",#REF!, "*2*",#REF!, "wasted")</f>
        <v>0</v>
      </c>
      <c r="J17" s="1">
        <f>_xlfn.COUNTIFS(#REF!, "f",#REF!, "tall",#REF!, "*2*",#REF!, "severely wasted")
+ _xlfn.COUNTIFS(#REF!, "f",#REF!, "tall",#REF!, "*2*",#REF!, "wasted")</f>
        <v>0</v>
      </c>
      <c r="L17">
        <f>SUM(C17:F17)</f>
        <v>0</v>
      </c>
      <c r="M17">
        <f>SUM(G17:J17)</f>
        <v>0</v>
      </c>
      <c r="O17" s="64"/>
      <c r="P17" s="1" t="s">
        <v>16</v>
      </c>
      <c r="Q17" s="1">
        <f>C17</f>
        <v>0</v>
      </c>
      <c r="R17" s="1">
        <f>D17</f>
        <v>0</v>
      </c>
      <c r="S17" s="1">
        <f>E17</f>
        <v>0</v>
      </c>
      <c r="T17" s="1">
        <f>F17</f>
        <v>0</v>
      </c>
      <c r="U17" s="1">
        <f>G17</f>
        <v>0</v>
      </c>
      <c r="V17" s="1">
        <f>H17</f>
        <v>0</v>
      </c>
      <c r="W17" s="1">
        <f>I17</f>
        <v>0</v>
      </c>
      <c r="X17" s="1">
        <f>J17</f>
        <v>0</v>
      </c>
      <c r="Z17">
        <f>SUM(Q17:T17)</f>
        <v>0</v>
      </c>
      <c r="AA17">
        <f>SUM(U17:X17)</f>
        <v>0</v>
      </c>
    </row>
    <row r="18" spans="1:27">
      <c r="A18" s="54"/>
      <c r="B18" s="5" t="s">
        <v>17</v>
      </c>
      <c r="C18" s="5">
        <f>SUM(C16:C17)</f>
        <v>0</v>
      </c>
      <c r="D18" s="5">
        <f>SUM(D16:D17)</f>
        <v>0</v>
      </c>
      <c r="E18" s="5">
        <f>SUM(E16:E17)</f>
        <v>0</v>
      </c>
      <c r="F18" s="5">
        <f>SUM(F16:F17)</f>
        <v>0</v>
      </c>
      <c r="G18" s="5">
        <f>SUM(G16:G17)</f>
        <v>0</v>
      </c>
      <c r="H18" s="5">
        <f>SUM(H16:H17)</f>
        <v>0</v>
      </c>
      <c r="I18" s="5">
        <f>SUM(I16:I17)</f>
        <v>0</v>
      </c>
      <c r="J18" s="5">
        <f>SUM(J16:J17)</f>
        <v>0</v>
      </c>
      <c r="L18">
        <f>SUM(C18:F18)</f>
        <v>0</v>
      </c>
      <c r="M18">
        <f>SUM(G18:J18)</f>
        <v>0</v>
      </c>
      <c r="O18" s="65"/>
      <c r="P18" s="5" t="s">
        <v>17</v>
      </c>
      <c r="Q18" s="5">
        <f>SUM(Q16:Q17)</f>
        <v>0</v>
      </c>
      <c r="R18" s="5">
        <f>SUM(R16:R17)</f>
        <v>0</v>
      </c>
      <c r="S18" s="5">
        <f>SUM(S16:S17)</f>
        <v>0</v>
      </c>
      <c r="T18" s="5">
        <f>SUM(T16:T17)</f>
        <v>0</v>
      </c>
      <c r="U18" s="5">
        <f>SUM(U16:U17)</f>
        <v>0</v>
      </c>
      <c r="V18" s="5">
        <f>SUM(V16:V17)</f>
        <v>0</v>
      </c>
      <c r="W18" s="5">
        <f>SUM(W16:W17)</f>
        <v>0</v>
      </c>
      <c r="X18" s="5">
        <f>SUM(X16:X17)</f>
        <v>0</v>
      </c>
      <c r="Z18">
        <f>SUM(Q18:T18)</f>
        <v>0</v>
      </c>
      <c r="AA18">
        <f>SUM(U18:X18)</f>
        <v>0</v>
      </c>
    </row>
    <row r="19" spans="1:27">
      <c r="A19" s="66" t="s">
        <v>20</v>
      </c>
      <c r="B19" s="1" t="s">
        <v>15</v>
      </c>
      <c r="C19" s="1">
        <f>_xlfn.COUNTIFS(#REF!, "m",#REF!, "*severely wasted*",#REF!, "*3*")</f>
        <v>0</v>
      </c>
      <c r="D19" s="1">
        <f>_xlfn.COUNTIFS(#REF!, "m",#REF!, "wasted",#REF!, "*3*")</f>
        <v>0</v>
      </c>
      <c r="E19" s="1">
        <v>0</v>
      </c>
      <c r="F19" s="1">
        <v>0</v>
      </c>
      <c r="G19" s="1">
        <f>_xlfn.COUNTIFS(#REF!, "m",#REF!, "severely stunted",#REF!, "*3*",#REF!, "severely wasted")
+ _xlfn.COUNTIFS(#REF!, "m",#REF!, "severely stunted",#REF!, "*3*",#REF!, "wasted")</f>
        <v>0</v>
      </c>
      <c r="H19" s="1">
        <f>_xlfn.COUNTIFS(#REF!, "m",#REF!, "stunted",#REF!, "*3*",#REF!, "severely wasted")
+ _xlfn.COUNTIFS(#REF!, "m",#REF!, "stunted",#REF!, "*3*",#REF!, "wasted")</f>
        <v>0</v>
      </c>
      <c r="I19" s="1">
        <f>_xlfn.COUNTIFS(#REF!, "m",#REF!, "*normal*",#REF!, "*3*",#REF!, "severely wasted")
+ _xlfn.COUNTIFS(#REF!, "m",#REF!, "*normal*",#REF!, "*3*",#REF!, "wasted")</f>
        <v>0</v>
      </c>
      <c r="J19" s="1">
        <f>_xlfn.COUNTIFS(#REF!, "m",#REF!, "tall",#REF!, "*3*",#REF!, "severely wasted")
+ _xlfn.COUNTIFS(#REF!, "m",#REF!, "tall",#REF!, "*3*",#REF!, "wasted")</f>
        <v>0</v>
      </c>
      <c r="L19">
        <f>SUM(C19:F19)</f>
        <v>0</v>
      </c>
      <c r="M19">
        <f>SUM(G19:J19)</f>
        <v>0</v>
      </c>
      <c r="O19" s="52" t="s">
        <v>20</v>
      </c>
      <c r="P19" s="1" t="s">
        <v>15</v>
      </c>
      <c r="Q19" s="1">
        <f>C19</f>
        <v>0</v>
      </c>
      <c r="R19" s="1">
        <f>D19</f>
        <v>0</v>
      </c>
      <c r="S19" s="1">
        <f>E19</f>
        <v>0</v>
      </c>
      <c r="T19" s="1">
        <f>F19</f>
        <v>0</v>
      </c>
      <c r="U19" s="1">
        <f>G19</f>
        <v>0</v>
      </c>
      <c r="V19" s="1">
        <f>H19</f>
        <v>0</v>
      </c>
      <c r="W19" s="1">
        <f>I19</f>
        <v>0</v>
      </c>
      <c r="X19" s="1">
        <f>J19</f>
        <v>0</v>
      </c>
      <c r="Z19">
        <f>SUM(Q19:T19)</f>
        <v>0</v>
      </c>
      <c r="AA19">
        <f>SUM(U19:X19)</f>
        <v>0</v>
      </c>
    </row>
    <row r="20" spans="1:27">
      <c r="A20" s="53"/>
      <c r="B20" s="1" t="s">
        <v>16</v>
      </c>
      <c r="C20" s="1">
        <f>_xlfn.COUNTIFS(#REF!, "f",#REF!, "*severely wasted*",#REF!, "*3*")</f>
        <v>0</v>
      </c>
      <c r="D20" s="1">
        <f>_xlfn.COUNTIFS(#REF!, "f",#REF!, "wasted",#REF!, "*3*")</f>
        <v>0</v>
      </c>
      <c r="E20" s="1">
        <v>0</v>
      </c>
      <c r="F20" s="1">
        <v>0</v>
      </c>
      <c r="G20" s="1">
        <f>_xlfn.COUNTIFS(#REF!, "f",#REF!, "severely stunted",#REF!, "*3*",#REF!, "severely wasted")
+ _xlfn.COUNTIFS(#REF!, "f",#REF!, "severely stunted",#REF!, "*3*",#REF!, "wasted")</f>
        <v>0</v>
      </c>
      <c r="H20" s="1">
        <f>_xlfn.COUNTIFS(#REF!, "f",#REF!, "stunted",#REF!, "*3*",#REF!, "severely wasted")
+ _xlfn.COUNTIFS(#REF!, "f",#REF!, "stunted",#REF!, "*3*",#REF!, "wasted")</f>
        <v>0</v>
      </c>
      <c r="I20" s="1">
        <f>_xlfn.COUNTIFS(#REF!, "f",#REF!, "*normal*",#REF!, "*3*",#REF!, "severely wasted")
+ _xlfn.COUNTIFS(#REF!, "f",#REF!, "*normal*",#REF!, "*3*",#REF!, "wasted")</f>
        <v>0</v>
      </c>
      <c r="J20" s="1">
        <f>_xlfn.COUNTIFS(#REF!, "f",#REF!, "tall",#REF!, "*3*",#REF!, "severely wasted")
+ _xlfn.COUNTIFS(#REF!, "f",#REF!, "tall",#REF!, "*3*",#REF!, "wasted")</f>
        <v>0</v>
      </c>
      <c r="L20">
        <f>SUM(C20:F20)</f>
        <v>0</v>
      </c>
      <c r="M20">
        <f>SUM(G20:J20)</f>
        <v>0</v>
      </c>
      <c r="O20" s="64"/>
      <c r="P20" s="1" t="s">
        <v>16</v>
      </c>
      <c r="Q20" s="1">
        <f>C20</f>
        <v>0</v>
      </c>
      <c r="R20" s="1">
        <f>D20</f>
        <v>0</v>
      </c>
      <c r="S20" s="1">
        <f>E20</f>
        <v>0</v>
      </c>
      <c r="T20" s="1">
        <f>F20</f>
        <v>0</v>
      </c>
      <c r="U20" s="1">
        <f>G20</f>
        <v>0</v>
      </c>
      <c r="V20" s="1">
        <f>H20</f>
        <v>0</v>
      </c>
      <c r="W20" s="1">
        <f>I20</f>
        <v>0</v>
      </c>
      <c r="X20" s="1">
        <f>J20</f>
        <v>0</v>
      </c>
      <c r="Z20">
        <f>SUM(Q20:T20)</f>
        <v>0</v>
      </c>
      <c r="AA20">
        <f>SUM(U20:X20)</f>
        <v>0</v>
      </c>
    </row>
    <row r="21" spans="1:27">
      <c r="A21" s="54"/>
      <c r="B21" s="5" t="s">
        <v>17</v>
      </c>
      <c r="C21" s="5">
        <f>SUM(C19:C20)</f>
        <v>0</v>
      </c>
      <c r="D21" s="5">
        <f>SUM(D19:D20)</f>
        <v>0</v>
      </c>
      <c r="E21" s="5">
        <f>SUM(E19:E20)</f>
        <v>0</v>
      </c>
      <c r="F21" s="5">
        <f>SUM(F19:F20)</f>
        <v>0</v>
      </c>
      <c r="G21" s="5">
        <f>SUM(G19:G20)</f>
        <v>0</v>
      </c>
      <c r="H21" s="5">
        <f>SUM(H19:H20)</f>
        <v>0</v>
      </c>
      <c r="I21" s="5">
        <f>SUM(I19:I20)</f>
        <v>0</v>
      </c>
      <c r="J21" s="5">
        <f>SUM(J19:J20)</f>
        <v>0</v>
      </c>
      <c r="L21">
        <f>SUM(C21:F21)</f>
        <v>0</v>
      </c>
      <c r="M21">
        <f>SUM(G21:J21)</f>
        <v>0</v>
      </c>
      <c r="O21" s="65"/>
      <c r="P21" s="5" t="s">
        <v>17</v>
      </c>
      <c r="Q21" s="5">
        <f>SUM(Q19:Q20)</f>
        <v>0</v>
      </c>
      <c r="R21" s="5">
        <f>SUM(R19:R20)</f>
        <v>0</v>
      </c>
      <c r="S21" s="5">
        <f>SUM(S19:S20)</f>
        <v>0</v>
      </c>
      <c r="T21" s="5">
        <f>SUM(T19:T20)</f>
        <v>0</v>
      </c>
      <c r="U21" s="5">
        <f>SUM(U19:U20)</f>
        <v>0</v>
      </c>
      <c r="V21" s="5">
        <f>SUM(V19:V20)</f>
        <v>0</v>
      </c>
      <c r="W21" s="5">
        <f>SUM(W19:W20)</f>
        <v>0</v>
      </c>
      <c r="X21" s="5">
        <f>SUM(X19:X20)</f>
        <v>0</v>
      </c>
      <c r="Z21">
        <f>SUM(Q21:T21)</f>
        <v>0</v>
      </c>
      <c r="AA21">
        <f>SUM(U21:X21)</f>
        <v>0</v>
      </c>
    </row>
    <row r="22" spans="1:27">
      <c r="A22" s="66" t="s">
        <v>21</v>
      </c>
      <c r="B22" s="1" t="s">
        <v>15</v>
      </c>
      <c r="C22" s="1">
        <f>_xlfn.COUNTIFS(#REF!, "m",#REF!, "*severely wasted*",#REF!, "*4*")</f>
        <v>0</v>
      </c>
      <c r="D22" s="1">
        <f>_xlfn.COUNTIFS(#REF!, "m",#REF!, "wasted",#REF!, "*4*")</f>
        <v>0</v>
      </c>
      <c r="E22" s="1">
        <v>0</v>
      </c>
      <c r="F22" s="1">
        <v>0</v>
      </c>
      <c r="G22" s="1">
        <f>_xlfn.COUNTIFS(#REF!, "m",#REF!, "severely stunted",#REF!, "*4*",#REF!, "severely wasted")
+ _xlfn.COUNTIFS(#REF!, "m",#REF!, "severely stunted",#REF!, "*4*",#REF!, "wasted")</f>
        <v>0</v>
      </c>
      <c r="H22" s="1">
        <f>_xlfn.COUNTIFS(#REF!, "m",#REF!, "stunted",#REF!, "*4*",#REF!, "severely wasted")
+ _xlfn.COUNTIFS(#REF!, "m",#REF!, "stunted",#REF!, "*4*",#REF!, "wasted")</f>
        <v>0</v>
      </c>
      <c r="I22" s="1">
        <f>_xlfn.COUNTIFS(#REF!, "m",#REF!, "*normal*",#REF!, "*4*",#REF!, "severely wasted")
+ _xlfn.COUNTIFS(#REF!, "m",#REF!, "*normal*",#REF!, "*4*",#REF!, "wasted")</f>
        <v>0</v>
      </c>
      <c r="J22" s="1">
        <f>_xlfn.COUNTIFS(#REF!, "m",#REF!, "tall",#REF!, "*4*",#REF!, "severely wasted")
+ _xlfn.COUNTIFS(#REF!, "m",#REF!, "tall",#REF!, "*4*",#REF!, "wasted")</f>
        <v>0</v>
      </c>
      <c r="L22">
        <f>SUM(C22:F22)</f>
        <v>0</v>
      </c>
      <c r="M22">
        <f>SUM(G22:J22)</f>
        <v>0</v>
      </c>
      <c r="O22" s="52" t="s">
        <v>21</v>
      </c>
      <c r="P22" s="1" t="s">
        <v>15</v>
      </c>
      <c r="Q22" s="1">
        <f>C22</f>
        <v>0</v>
      </c>
      <c r="R22" s="1">
        <f>D22</f>
        <v>0</v>
      </c>
      <c r="S22" s="1">
        <f>E22</f>
        <v>0</v>
      </c>
      <c r="T22" s="1">
        <f>F22</f>
        <v>0</v>
      </c>
      <c r="U22" s="1">
        <f>G22</f>
        <v>0</v>
      </c>
      <c r="V22" s="1">
        <f>H22</f>
        <v>0</v>
      </c>
      <c r="W22" s="1">
        <f>I22</f>
        <v>0</v>
      </c>
      <c r="X22" s="1">
        <f>J22</f>
        <v>0</v>
      </c>
      <c r="Z22">
        <f>SUM(Q22:T22)</f>
        <v>0</v>
      </c>
      <c r="AA22">
        <f>SUM(U22:X22)</f>
        <v>0</v>
      </c>
    </row>
    <row r="23" spans="1:27">
      <c r="A23" s="53"/>
      <c r="B23" s="1" t="s">
        <v>16</v>
      </c>
      <c r="C23" s="1">
        <f>_xlfn.COUNTIFS(#REF!, "f",#REF!, "*severely wasted*",#REF!, "*4*")</f>
        <v>0</v>
      </c>
      <c r="D23" s="1">
        <f>_xlfn.COUNTIFS(#REF!, "f",#REF!, "wasted",#REF!, "*4*")</f>
        <v>0</v>
      </c>
      <c r="E23" s="1">
        <v>0</v>
      </c>
      <c r="F23" s="1">
        <v>0</v>
      </c>
      <c r="G23" s="1">
        <f>_xlfn.COUNTIFS(#REF!, "f",#REF!, "severely stunted",#REF!, "*4*",#REF!, "severely wasted")
+ _xlfn.COUNTIFS(#REF!, "f",#REF!, "severely stunted",#REF!, "*4*",#REF!, "wasted")</f>
        <v>0</v>
      </c>
      <c r="H23" s="1">
        <f>_xlfn.COUNTIFS(#REF!, "f",#REF!, "stunted",#REF!, "*4*",#REF!, "severely wasted")
+ _xlfn.COUNTIFS(#REF!, "f",#REF!, "stunted",#REF!, "*4*",#REF!, "wasted")</f>
        <v>0</v>
      </c>
      <c r="I23" s="1">
        <f>_xlfn.COUNTIFS(#REF!, "f",#REF!, "*normal*",#REF!, "*4*",#REF!, "severely wasted")
+ _xlfn.COUNTIFS(#REF!, "f",#REF!, "*normal*",#REF!, "*4*",#REF!, "wasted")</f>
        <v>0</v>
      </c>
      <c r="J23" s="1">
        <f>_xlfn.COUNTIFS(#REF!, "f",#REF!, "tall",#REF!, "*4*",#REF!, "severely wasted")
+ _xlfn.COUNTIFS(#REF!, "f",#REF!, "tall",#REF!, "*4*",#REF!, "wasted")</f>
        <v>0</v>
      </c>
      <c r="L23">
        <f>SUM(C23:F23)</f>
        <v>0</v>
      </c>
      <c r="M23">
        <f>SUM(G23:J23)</f>
        <v>0</v>
      </c>
      <c r="O23" s="64"/>
      <c r="P23" s="1" t="s">
        <v>16</v>
      </c>
      <c r="Q23" s="1">
        <f>C23</f>
        <v>0</v>
      </c>
      <c r="R23" s="1">
        <f>D23</f>
        <v>0</v>
      </c>
      <c r="S23" s="1">
        <f>E23</f>
        <v>0</v>
      </c>
      <c r="T23" s="1">
        <f>F23</f>
        <v>0</v>
      </c>
      <c r="U23" s="1">
        <f>G23</f>
        <v>0</v>
      </c>
      <c r="V23" s="1">
        <f>H23</f>
        <v>0</v>
      </c>
      <c r="W23" s="1">
        <f>I23</f>
        <v>0</v>
      </c>
      <c r="X23" s="1">
        <f>J23</f>
        <v>0</v>
      </c>
      <c r="Z23">
        <f>SUM(Q23:T23)</f>
        <v>0</v>
      </c>
      <c r="AA23">
        <f>SUM(U23:X23)</f>
        <v>0</v>
      </c>
    </row>
    <row r="24" spans="1:27">
      <c r="A24" s="54"/>
      <c r="B24" s="5" t="s">
        <v>17</v>
      </c>
      <c r="C24" s="5">
        <f>SUM(C22:C23)</f>
        <v>0</v>
      </c>
      <c r="D24" s="5">
        <f>SUM(D22:D23)</f>
        <v>0</v>
      </c>
      <c r="E24" s="5">
        <f>SUM(E22:E23)</f>
        <v>0</v>
      </c>
      <c r="F24" s="5">
        <f>SUM(F22:F23)</f>
        <v>0</v>
      </c>
      <c r="G24" s="5">
        <f>SUM(G22:G23)</f>
        <v>0</v>
      </c>
      <c r="H24" s="5">
        <f>SUM(H22:H23)</f>
        <v>0</v>
      </c>
      <c r="I24" s="5">
        <f>SUM(I22:I23)</f>
        <v>0</v>
      </c>
      <c r="J24" s="5">
        <f>SUM(J22:J23)</f>
        <v>0</v>
      </c>
      <c r="L24">
        <f>SUM(C24:F24)</f>
        <v>0</v>
      </c>
      <c r="M24">
        <f>SUM(G24:J24)</f>
        <v>0</v>
      </c>
      <c r="O24" s="65"/>
      <c r="P24" s="5" t="s">
        <v>17</v>
      </c>
      <c r="Q24" s="5">
        <f>SUM(Q22:Q23)</f>
        <v>0</v>
      </c>
      <c r="R24" s="5">
        <f>SUM(R22:R23)</f>
        <v>0</v>
      </c>
      <c r="S24" s="5">
        <f>SUM(S22:S23)</f>
        <v>0</v>
      </c>
      <c r="T24" s="5">
        <f>SUM(T22:T23)</f>
        <v>0</v>
      </c>
      <c r="U24" s="5">
        <f>SUM(U22:U23)</f>
        <v>0</v>
      </c>
      <c r="V24" s="5">
        <f>SUM(V22:V23)</f>
        <v>0</v>
      </c>
      <c r="W24" s="5">
        <f>SUM(W22:W23)</f>
        <v>0</v>
      </c>
      <c r="X24" s="5">
        <f>SUM(X22:X23)</f>
        <v>0</v>
      </c>
      <c r="Z24">
        <f>SUM(Q24:T24)</f>
        <v>0</v>
      </c>
      <c r="AA24">
        <f>SUM(U24:X24)</f>
        <v>0</v>
      </c>
    </row>
    <row r="25" spans="1:27">
      <c r="A25" s="66" t="s">
        <v>22</v>
      </c>
      <c r="B25" s="1" t="s">
        <v>15</v>
      </c>
      <c r="C25" s="1">
        <f>_xlfn.COUNTIFS(#REF!, "m",#REF!, "*severely wasted*",#REF!, "*5*")</f>
        <v>0</v>
      </c>
      <c r="D25" s="1">
        <f>_xlfn.COUNTIFS(#REF!, "m",#REF!, "wasted",#REF!, "*5*")</f>
        <v>0</v>
      </c>
      <c r="E25" s="1">
        <v>0</v>
      </c>
      <c r="F25" s="1">
        <v>0</v>
      </c>
      <c r="G25" s="1">
        <f>_xlfn.COUNTIFS(#REF!, "m",#REF!, "severely stunted",#REF!, "*5*",#REF!, "severely wasted")
+ _xlfn.COUNTIFS(#REF!, "m",#REF!, "severely stunted",#REF!, "*5*",#REF!, "wasted")</f>
        <v>0</v>
      </c>
      <c r="H25" s="1">
        <f>_xlfn.COUNTIFS(#REF!, "m",#REF!, "stunted",#REF!, "*5*",#REF!, "severely wasted")
+ _xlfn.COUNTIFS(#REF!, "m",#REF!, "stunted",#REF!, "*5*",#REF!, "wasted")</f>
        <v>0</v>
      </c>
      <c r="I25" s="1">
        <f>_xlfn.COUNTIFS(#REF!, "m",#REF!, "*normal*",#REF!, "*5*",#REF!, "severely wasted")
+ _xlfn.COUNTIFS(#REF!, "m",#REF!, "*normal*",#REF!, "*5*",#REF!, "wasted")</f>
        <v>0</v>
      </c>
      <c r="J25" s="1">
        <f>_xlfn.COUNTIFS(#REF!, "m",#REF!, "tall",#REF!, "*5*",#REF!, "severely wasted")
+ _xlfn.COUNTIFS(#REF!, "m",#REF!, "tall",#REF!, "*5*",#REF!, "wasted")</f>
        <v>0</v>
      </c>
      <c r="L25">
        <f>SUM(C25:F25)</f>
        <v>0</v>
      </c>
      <c r="M25">
        <f>SUM(G25:J25)</f>
        <v>0</v>
      </c>
      <c r="O25" s="52" t="s">
        <v>22</v>
      </c>
      <c r="P25" s="1" t="s">
        <v>15</v>
      </c>
      <c r="Q25" s="1">
        <f>C25</f>
        <v>0</v>
      </c>
      <c r="R25" s="1">
        <f>D25</f>
        <v>0</v>
      </c>
      <c r="S25" s="1">
        <f>E25</f>
        <v>0</v>
      </c>
      <c r="T25" s="1">
        <f>F25</f>
        <v>0</v>
      </c>
      <c r="U25" s="1">
        <f>G25</f>
        <v>0</v>
      </c>
      <c r="V25" s="1">
        <f>H25</f>
        <v>0</v>
      </c>
      <c r="W25" s="1">
        <f>I25</f>
        <v>0</v>
      </c>
      <c r="X25" s="1">
        <f>J25</f>
        <v>0</v>
      </c>
      <c r="Z25">
        <f>SUM(Q25:T25)</f>
        <v>0</v>
      </c>
      <c r="AA25">
        <f>SUM(U25:X25)</f>
        <v>0</v>
      </c>
    </row>
    <row r="26" spans="1:27">
      <c r="A26" s="53"/>
      <c r="B26" s="1" t="s">
        <v>16</v>
      </c>
      <c r="C26" s="1">
        <f>_xlfn.COUNTIFS(#REF!, "f",#REF!, "*severely wasted*",#REF!, "*5*")</f>
        <v>0</v>
      </c>
      <c r="D26" s="1">
        <f>_xlfn.COUNTIFS(#REF!, "f",#REF!, "wasted",#REF!, "*5*")</f>
        <v>0</v>
      </c>
      <c r="E26" s="1">
        <v>0</v>
      </c>
      <c r="F26" s="1">
        <v>0</v>
      </c>
      <c r="G26" s="1">
        <f>_xlfn.COUNTIFS(#REF!, "f",#REF!, "severely stunted",#REF!, "*5*",#REF!, "severely wasted")
+ _xlfn.COUNTIFS(#REF!, "f",#REF!, "severely stunted",#REF!, "*5*",#REF!, "wasted")</f>
        <v>0</v>
      </c>
      <c r="H26" s="1">
        <f>_xlfn.COUNTIFS(#REF!, "f",#REF!, "stunted",#REF!, "*5*",#REF!, "severely wasted")
+ _xlfn.COUNTIFS(#REF!, "f",#REF!, "stunted",#REF!, "*5*",#REF!, "wasted")</f>
        <v>0</v>
      </c>
      <c r="I26" s="1">
        <f>_xlfn.COUNTIFS(#REF!, "f",#REF!, "*normal*",#REF!, "*5*",#REF!, "severely wasted")
+ _xlfn.COUNTIFS(#REF!, "f",#REF!, "*normal*",#REF!, "*5*",#REF!, "wasted")</f>
        <v>0</v>
      </c>
      <c r="J26" s="1">
        <f>_xlfn.COUNTIFS(#REF!, "f",#REF!, "tall",#REF!, "*5*",#REF!, "severely wasted")
+ _xlfn.COUNTIFS(#REF!, "f",#REF!, "tall",#REF!, "*5*",#REF!, "wasted")</f>
        <v>0</v>
      </c>
      <c r="L26">
        <f>SUM(C26:F26)</f>
        <v>0</v>
      </c>
      <c r="M26">
        <f>SUM(G26:J26)</f>
        <v>0</v>
      </c>
      <c r="O26" s="64"/>
      <c r="P26" s="1" t="s">
        <v>16</v>
      </c>
      <c r="Q26" s="1">
        <f>C26</f>
        <v>0</v>
      </c>
      <c r="R26" s="1">
        <f>D26</f>
        <v>0</v>
      </c>
      <c r="S26" s="1">
        <f>E26</f>
        <v>0</v>
      </c>
      <c r="T26" s="1">
        <f>F26</f>
        <v>0</v>
      </c>
      <c r="U26" s="1">
        <f>G26</f>
        <v>0</v>
      </c>
      <c r="V26" s="1">
        <f>H26</f>
        <v>0</v>
      </c>
      <c r="W26" s="1">
        <f>I26</f>
        <v>0</v>
      </c>
      <c r="X26" s="1">
        <f>J26</f>
        <v>0</v>
      </c>
      <c r="Z26">
        <f>SUM(Q26:T26)</f>
        <v>0</v>
      </c>
      <c r="AA26">
        <f>SUM(U26:X26)</f>
        <v>0</v>
      </c>
    </row>
    <row r="27" spans="1:27">
      <c r="A27" s="54"/>
      <c r="B27" s="5" t="s">
        <v>17</v>
      </c>
      <c r="C27" s="5">
        <f>SUM(C25:C26)</f>
        <v>0</v>
      </c>
      <c r="D27" s="5">
        <f>SUM(D25:D26)</f>
        <v>0</v>
      </c>
      <c r="E27" s="5">
        <f>SUM(E25:E26)</f>
        <v>0</v>
      </c>
      <c r="F27" s="5">
        <f>SUM(F25:F26)</f>
        <v>0</v>
      </c>
      <c r="G27" s="5">
        <f>SUM(G25:G26)</f>
        <v>0</v>
      </c>
      <c r="H27" s="5">
        <f>SUM(H25:H26)</f>
        <v>0</v>
      </c>
      <c r="I27" s="5">
        <f>SUM(I25:I26)</f>
        <v>0</v>
      </c>
      <c r="J27" s="5">
        <f>SUM(J25:J26)</f>
        <v>0</v>
      </c>
      <c r="L27">
        <f>SUM(C27:F27)</f>
        <v>0</v>
      </c>
      <c r="M27">
        <f>SUM(G27:J27)</f>
        <v>0</v>
      </c>
      <c r="O27" s="65"/>
      <c r="P27" s="5" t="s">
        <v>17</v>
      </c>
      <c r="Q27" s="5">
        <f>SUM(Q25:Q26)</f>
        <v>0</v>
      </c>
      <c r="R27" s="5">
        <f>SUM(R25:R26)</f>
        <v>0</v>
      </c>
      <c r="S27" s="5">
        <f>SUM(S25:S26)</f>
        <v>0</v>
      </c>
      <c r="T27" s="5">
        <f>SUM(T25:T26)</f>
        <v>0</v>
      </c>
      <c r="U27" s="5">
        <f>SUM(U25:U26)</f>
        <v>0</v>
      </c>
      <c r="V27" s="5">
        <f>SUM(V25:V26)</f>
        <v>0</v>
      </c>
      <c r="W27" s="5">
        <f>SUM(W25:W26)</f>
        <v>0</v>
      </c>
      <c r="X27" s="5">
        <f>SUM(X25:X26)</f>
        <v>0</v>
      </c>
      <c r="Z27">
        <f>SUM(Q27:T27)</f>
        <v>0</v>
      </c>
      <c r="AA27">
        <f>SUM(U27:X27)</f>
        <v>0</v>
      </c>
    </row>
    <row r="28" spans="1:27">
      <c r="A28" s="66" t="s">
        <v>23</v>
      </c>
      <c r="B28" s="1" t="s">
        <v>15</v>
      </c>
      <c r="C28" s="1">
        <f>_xlfn.COUNTIFS(#REF!, "m",#REF!, "*severely wasted*",#REF!, "*6*")</f>
        <v>0</v>
      </c>
      <c r="D28" s="1">
        <f>_xlfn.COUNTIFS(#REF!, "m",#REF!, "wasted",#REF!, "*6*")</f>
        <v>0</v>
      </c>
      <c r="E28" s="1">
        <v>0</v>
      </c>
      <c r="F28" s="1">
        <v>0</v>
      </c>
      <c r="G28" s="1">
        <f>_xlfn.COUNTIFS(#REF!, "m",#REF!, "severely stunted",#REF!, "*6*",#REF!, "severely wasted")
+ _xlfn.COUNTIFS(#REF!, "m",#REF!, "severely stunted",#REF!, "*6*",#REF!, "wasted")</f>
        <v>0</v>
      </c>
      <c r="H28" s="1">
        <f>_xlfn.COUNTIFS(#REF!, "m",#REF!, "stunted",#REF!, "*6*",#REF!, "severely wasted")
+ _xlfn.COUNTIFS(#REF!, "m",#REF!, "stunted",#REF!, "*6*",#REF!, "wasted")</f>
        <v>0</v>
      </c>
      <c r="I28" s="1">
        <f>_xlfn.COUNTIFS(#REF!, "m",#REF!, "*normal*",#REF!, "*6*",#REF!, "severely wasted")
+ _xlfn.COUNTIFS(#REF!, "m",#REF!, "*normal*",#REF!, "*6*",#REF!, "wasted")</f>
        <v>0</v>
      </c>
      <c r="J28" s="1">
        <f>_xlfn.COUNTIFS(#REF!, "m",#REF!, "tall",#REF!, "*6*",#REF!, "severely wasted")
+ _xlfn.COUNTIFS(#REF!, "m",#REF!, "tall",#REF!, "*6*",#REF!, "wasted")</f>
        <v>0</v>
      </c>
      <c r="L28">
        <f>SUM(C28:F28)</f>
        <v>0</v>
      </c>
      <c r="M28">
        <f>SUM(G28:J28)</f>
        <v>0</v>
      </c>
      <c r="O28" s="52" t="s">
        <v>23</v>
      </c>
      <c r="P28" s="1" t="s">
        <v>15</v>
      </c>
      <c r="Q28" s="1">
        <f>C28</f>
        <v>0</v>
      </c>
      <c r="R28" s="1">
        <f>D28</f>
        <v>0</v>
      </c>
      <c r="S28" s="1">
        <f>E28</f>
        <v>0</v>
      </c>
      <c r="T28" s="1">
        <f>F28</f>
        <v>0</v>
      </c>
      <c r="U28" s="1">
        <f>G28</f>
        <v>0</v>
      </c>
      <c r="V28" s="1">
        <f>H28</f>
        <v>0</v>
      </c>
      <c r="W28" s="1">
        <f>I28</f>
        <v>0</v>
      </c>
      <c r="X28" s="1">
        <f>J28</f>
        <v>0</v>
      </c>
      <c r="Z28">
        <f>SUM(Q28:T28)</f>
        <v>0</v>
      </c>
      <c r="AA28">
        <f>SUM(U28:X28)</f>
        <v>0</v>
      </c>
    </row>
    <row r="29" spans="1:27">
      <c r="A29" s="53"/>
      <c r="B29" s="1" t="s">
        <v>16</v>
      </c>
      <c r="C29" s="1">
        <f>_xlfn.COUNTIFS(#REF!, "f",#REF!, "*severely wasted*",#REF!, "*6*")</f>
        <v>0</v>
      </c>
      <c r="D29" s="1">
        <f>_xlfn.COUNTIFS(#REF!, "f",#REF!, "wasted",#REF!, "*6*")</f>
        <v>0</v>
      </c>
      <c r="E29" s="1">
        <v>0</v>
      </c>
      <c r="F29" s="1">
        <v>0</v>
      </c>
      <c r="G29" s="1">
        <f>_xlfn.COUNTIFS(#REF!, "f",#REF!, "severely stunted",#REF!, "*6*",#REF!, "severely wasted")
+ _xlfn.COUNTIFS(#REF!, "f",#REF!, "severely stunted",#REF!, "*6*",#REF!, "wasted")</f>
        <v>0</v>
      </c>
      <c r="H29" s="1">
        <f>_xlfn.COUNTIFS(#REF!, "f",#REF!, "stunted",#REF!, "*6*",#REF!, "severely wasted")
+ _xlfn.COUNTIFS(#REF!, "f",#REF!, "stunted",#REF!, "*6*",#REF!, "wasted")</f>
        <v>0</v>
      </c>
      <c r="I29" s="1">
        <f>_xlfn.COUNTIFS(#REF!, "f",#REF!, "*normal*",#REF!, "*6*",#REF!, "severely wasted")
+ _xlfn.COUNTIFS(#REF!, "f",#REF!, "*normal*",#REF!, "*6*",#REF!, "wasted")</f>
        <v>0</v>
      </c>
      <c r="J29" s="1">
        <f>_xlfn.COUNTIFS(#REF!, "f",#REF!, "tall",#REF!, "*6*",#REF!, "severely wasted")
+ _xlfn.COUNTIFS(#REF!, "f",#REF!, "tall",#REF!, "*6*",#REF!, "wasted")</f>
        <v>0</v>
      </c>
      <c r="L29">
        <f>SUM(C29:F29)</f>
        <v>0</v>
      </c>
      <c r="M29">
        <f>SUM(G29:J29)</f>
        <v>0</v>
      </c>
      <c r="O29" s="64"/>
      <c r="P29" s="1" t="s">
        <v>16</v>
      </c>
      <c r="Q29" s="1">
        <f>C29</f>
        <v>0</v>
      </c>
      <c r="R29" s="1">
        <f>D29</f>
        <v>0</v>
      </c>
      <c r="S29" s="1">
        <f>E29</f>
        <v>0</v>
      </c>
      <c r="T29" s="1">
        <f>F29</f>
        <v>0</v>
      </c>
      <c r="U29" s="1">
        <f>G29</f>
        <v>0</v>
      </c>
      <c r="V29" s="1">
        <f>H29</f>
        <v>0</v>
      </c>
      <c r="W29" s="1">
        <f>I29</f>
        <v>0</v>
      </c>
      <c r="X29" s="1">
        <f>J29</f>
        <v>0</v>
      </c>
      <c r="Z29">
        <f>SUM(Q29:T29)</f>
        <v>0</v>
      </c>
      <c r="AA29">
        <f>SUM(U29:X29)</f>
        <v>0</v>
      </c>
    </row>
    <row r="30" spans="1:27">
      <c r="A30" s="54"/>
      <c r="B30" s="5" t="s">
        <v>17</v>
      </c>
      <c r="C30" s="5">
        <f>SUM(C28:C29)</f>
        <v>0</v>
      </c>
      <c r="D30" s="5">
        <f>SUM(D28:D29)</f>
        <v>0</v>
      </c>
      <c r="E30" s="5">
        <f>SUM(E28:E29)</f>
        <v>0</v>
      </c>
      <c r="F30" s="5">
        <f>SUM(F28:F29)</f>
        <v>0</v>
      </c>
      <c r="G30" s="5">
        <f>SUM(G28:G29)</f>
        <v>0</v>
      </c>
      <c r="H30" s="5">
        <f>SUM(H28:H29)</f>
        <v>0</v>
      </c>
      <c r="I30" s="5">
        <f>SUM(I28:I29)</f>
        <v>0</v>
      </c>
      <c r="J30" s="5">
        <f>SUM(J28:J29)</f>
        <v>0</v>
      </c>
      <c r="L30">
        <f>SUM(C30:F30)</f>
        <v>0</v>
      </c>
      <c r="M30">
        <f>SUM(G30:J30)</f>
        <v>0</v>
      </c>
      <c r="O30" s="65"/>
      <c r="P30" s="5" t="s">
        <v>17</v>
      </c>
      <c r="Q30" s="5">
        <f>SUM(Q28:Q29)</f>
        <v>0</v>
      </c>
      <c r="R30" s="5">
        <f>SUM(R28:R29)</f>
        <v>0</v>
      </c>
      <c r="S30" s="5">
        <f>SUM(S28:S29)</f>
        <v>0</v>
      </c>
      <c r="T30" s="5">
        <f>SUM(T28:T29)</f>
        <v>0</v>
      </c>
      <c r="U30" s="5">
        <f>SUM(U28:U29)</f>
        <v>0</v>
      </c>
      <c r="V30" s="5">
        <f>SUM(V28:V29)</f>
        <v>0</v>
      </c>
      <c r="W30" s="5">
        <f>SUM(W28:W29)</f>
        <v>0</v>
      </c>
      <c r="X30" s="5">
        <f>SUM(X28:X29)</f>
        <v>0</v>
      </c>
      <c r="Z30">
        <f>SUM(Q30:T30)</f>
        <v>0</v>
      </c>
      <c r="AA30">
        <f>SUM(U30:X30)</f>
        <v>0</v>
      </c>
    </row>
    <row r="31" spans="1:27">
      <c r="A31" s="66" t="s">
        <v>24</v>
      </c>
      <c r="B31" s="1" t="s">
        <v>15</v>
      </c>
      <c r="C31" s="1">
        <f>_xlfn.COUNTIFS(#REF!, "m",#REF!, "*severely wasted*",#REF!, "non-graded")</f>
        <v>0</v>
      </c>
      <c r="D31" s="1">
        <f>_xlfn.COUNTIFS(#REF!, "m",#REF!, "wasted",#REF!, "non-graded")</f>
        <v>0</v>
      </c>
      <c r="E31" s="1">
        <v>0</v>
      </c>
      <c r="F31" s="1">
        <v>0</v>
      </c>
      <c r="G31" s="1">
        <f>_xlfn.COUNTIFS(#REF!, "m",#REF!, "severely stunted",#REF!, "non-graded",#REF!, "severely wasted")
+ _xlfn.COUNTIFS(#REF!, "m",#REF!, "severely stunted",#REF!, "non-graded",#REF!, "wasted")</f>
        <v>0</v>
      </c>
      <c r="H31" s="1">
        <f>_xlfn.COUNTIFS(#REF!, "m",#REF!, "stunted",#REF!, "non-graded",#REF!, "severely wasted")
+ _xlfn.COUNTIFS(#REF!, "m",#REF!, "stunted",#REF!, "non-graded",#REF!, "wasted")</f>
        <v>0</v>
      </c>
      <c r="I31" s="1">
        <f>_xlfn.COUNTIFS(#REF!, "m",#REF!, "*normal*",#REF!, "non-graded",#REF!, "severely wasted")
+ _xlfn.COUNTIFS(#REF!, "m",#REF!, "*normal*",#REF!, "non-graded",#REF!, "wasted")</f>
        <v>0</v>
      </c>
      <c r="J31" s="1">
        <f>_xlfn.COUNTIFS(#REF!, "m",#REF!, "tall",#REF!, "non-graded",#REF!, "severely wasted")
+ _xlfn.COUNTIFS(#REF!, "m",#REF!, "tall",#REF!, "non-graded",#REF!, "wasted")</f>
        <v>0</v>
      </c>
      <c r="L31">
        <f>SUM(C31:F31)</f>
        <v>0</v>
      </c>
      <c r="M31">
        <f>SUM(G31:J31)</f>
        <v>0</v>
      </c>
      <c r="O31" s="52" t="s">
        <v>24</v>
      </c>
      <c r="P31" s="1" t="s">
        <v>15</v>
      </c>
      <c r="Q31" s="1">
        <f>C31</f>
        <v>0</v>
      </c>
      <c r="R31" s="1">
        <f>D31</f>
        <v>0</v>
      </c>
      <c r="S31" s="1">
        <f>E31</f>
        <v>0</v>
      </c>
      <c r="T31" s="1">
        <f>F31</f>
        <v>0</v>
      </c>
      <c r="U31" s="1">
        <f>G31</f>
        <v>0</v>
      </c>
      <c r="V31" s="1">
        <f>H31</f>
        <v>0</v>
      </c>
      <c r="W31" s="1">
        <f>I31</f>
        <v>0</v>
      </c>
      <c r="X31" s="1">
        <f>J31</f>
        <v>0</v>
      </c>
      <c r="Z31">
        <f>SUM(Q31:T31)</f>
        <v>0</v>
      </c>
      <c r="AA31">
        <f>SUM(U31:X31)</f>
        <v>0</v>
      </c>
    </row>
    <row r="32" spans="1:27">
      <c r="A32" s="53"/>
      <c r="B32" s="1" t="s">
        <v>16</v>
      </c>
      <c r="C32" s="1">
        <f>_xlfn.COUNTIFS(#REF!, "f",#REF!, "*severely wasted*",#REF!, "non-graded")</f>
        <v>0</v>
      </c>
      <c r="D32" s="1">
        <f>_xlfn.COUNTIFS(#REF!, "f",#REF!, "wasted",#REF!, "non-graded")</f>
        <v>0</v>
      </c>
      <c r="E32" s="1">
        <v>0</v>
      </c>
      <c r="F32" s="1">
        <v>0</v>
      </c>
      <c r="G32" s="1">
        <f>_xlfn.COUNTIFS(#REF!, "f",#REF!, "severely stunted",#REF!, "non-graded",#REF!, "severely wasted")
+ _xlfn.COUNTIFS(#REF!, "f",#REF!, "severely stunted",#REF!, "non-graded",#REF!, "wasted")</f>
        <v>0</v>
      </c>
      <c r="H32" s="1">
        <f>_xlfn.COUNTIFS(#REF!, "f",#REF!, "stunted",#REF!, "non-graded",#REF!, "severely wasted")
+ _xlfn.COUNTIFS(#REF!, "f",#REF!, "stunted",#REF!, "non-graded",#REF!, "wasted")</f>
        <v>0</v>
      </c>
      <c r="I32" s="1">
        <f>_xlfn.COUNTIFS(#REF!, "f",#REF!, "*normal*",#REF!, "non-graded",#REF!, "severely wasted")
+ _xlfn.COUNTIFS(#REF!, "f",#REF!, "*normal*",#REF!, "non-graded",#REF!, "wasted")</f>
        <v>0</v>
      </c>
      <c r="J32" s="1">
        <f>_xlfn.COUNTIFS(#REF!, "f",#REF!, "tall",#REF!, "non-graded",#REF!, "severely wasted")
+ _xlfn.COUNTIFS(#REF!, "f",#REF!, "tall",#REF!, "non-graded",#REF!, "wasted")</f>
        <v>0</v>
      </c>
      <c r="L32">
        <f>SUM(C32:F32)</f>
        <v>0</v>
      </c>
      <c r="M32">
        <f>SUM(G32:J32)</f>
        <v>0</v>
      </c>
      <c r="O32" s="64"/>
      <c r="P32" s="1" t="s">
        <v>16</v>
      </c>
      <c r="Q32" s="1">
        <f>C32</f>
        <v>0</v>
      </c>
      <c r="R32" s="1">
        <f>D32</f>
        <v>0</v>
      </c>
      <c r="S32" s="1">
        <f>E32</f>
        <v>0</v>
      </c>
      <c r="T32" s="1">
        <f>F32</f>
        <v>0</v>
      </c>
      <c r="U32" s="1">
        <f>G32</f>
        <v>0</v>
      </c>
      <c r="V32" s="1">
        <f>H32</f>
        <v>0</v>
      </c>
      <c r="W32" s="1">
        <f>I32</f>
        <v>0</v>
      </c>
      <c r="X32" s="1">
        <f>J32</f>
        <v>0</v>
      </c>
      <c r="Z32">
        <f>SUM(Q32:T32)</f>
        <v>0</v>
      </c>
      <c r="AA32">
        <f>SUM(U32:X32)</f>
        <v>0</v>
      </c>
    </row>
    <row r="33" spans="1:27">
      <c r="A33" s="54"/>
      <c r="B33" s="5" t="s">
        <v>17</v>
      </c>
      <c r="C33" s="5">
        <f>SUM(C31:C32)</f>
        <v>0</v>
      </c>
      <c r="D33" s="5">
        <f>SUM(D31:D32)</f>
        <v>0</v>
      </c>
      <c r="E33" s="5">
        <f>SUM(E31:E32)</f>
        <v>0</v>
      </c>
      <c r="F33" s="5">
        <f>SUM(F31:F32)</f>
        <v>0</v>
      </c>
      <c r="G33" s="5">
        <f>SUM(G31:G32)</f>
        <v>0</v>
      </c>
      <c r="H33" s="5">
        <f>SUM(H31:H32)</f>
        <v>0</v>
      </c>
      <c r="I33" s="5">
        <f>SUM(I31:I32)</f>
        <v>0</v>
      </c>
      <c r="J33" s="5">
        <f>SUM(J31:J32)</f>
        <v>0</v>
      </c>
      <c r="L33">
        <f>SUM(C33:F33)</f>
        <v>0</v>
      </c>
      <c r="M33">
        <f>SUM(G33:J33)</f>
        <v>0</v>
      </c>
      <c r="O33" s="65"/>
      <c r="P33" s="5" t="s">
        <v>17</v>
      </c>
      <c r="Q33" s="5">
        <f>SUM(Q31:Q32)</f>
        <v>0</v>
      </c>
      <c r="R33" s="5">
        <f>SUM(R31:R32)</f>
        <v>0</v>
      </c>
      <c r="S33" s="5">
        <f>SUM(S31:S32)</f>
        <v>0</v>
      </c>
      <c r="T33" s="5">
        <f>SUM(T31:T32)</f>
        <v>0</v>
      </c>
      <c r="U33" s="5">
        <f>SUM(U31:U32)</f>
        <v>0</v>
      </c>
      <c r="V33" s="5">
        <f>SUM(V31:V32)</f>
        <v>0</v>
      </c>
      <c r="W33" s="5">
        <f>SUM(W31:W32)</f>
        <v>0</v>
      </c>
      <c r="X33" s="5">
        <f>SUM(X31:X32)</f>
        <v>0</v>
      </c>
      <c r="Z33">
        <f>SUM(Q33:T33)</f>
        <v>0</v>
      </c>
      <c r="AA33">
        <f>SUM(U33:X33)</f>
        <v>0</v>
      </c>
    </row>
    <row r="34" spans="1:27">
      <c r="A34" s="66" t="s">
        <v>25</v>
      </c>
      <c r="B34" s="1" t="s">
        <v>15</v>
      </c>
      <c r="C34" s="1">
        <f>SUM(C10,C13,C16,C19,C22,C25,C28,C31)</f>
        <v>0</v>
      </c>
      <c r="D34" s="1">
        <f>SUM(D10,D13,D16,D19,D22,D25,D28,D31)</f>
        <v>0</v>
      </c>
      <c r="E34" s="1">
        <f>SUM(E10,E13,E16,E19,E22,E25,E28,E31)</f>
        <v>0</v>
      </c>
      <c r="F34" s="1">
        <f>SUM(F10,F13,F16,F19,F22,F25,F28,F31)</f>
        <v>0</v>
      </c>
      <c r="G34" s="1">
        <f>SUM(G10,G13,G16,G19,G22,G25,G28,G31)</f>
        <v>0</v>
      </c>
      <c r="H34" s="1">
        <f>SUM(H10,H13,H16,H19,H22,H25,H28,H31)</f>
        <v>0</v>
      </c>
      <c r="I34" s="1">
        <f>SUM(I10,I13,I16,I19,I22,I25,I28,I31)</f>
        <v>0</v>
      </c>
      <c r="J34" s="1">
        <f>SUM(J10,J13,J16,J19,J22,J25,J28,J31)</f>
        <v>0</v>
      </c>
      <c r="L34">
        <f>SUM(C34:F34)</f>
        <v>0</v>
      </c>
      <c r="M34">
        <f>SUM(G34:J34)</f>
        <v>0</v>
      </c>
      <c r="O34" s="52" t="s">
        <v>25</v>
      </c>
      <c r="P34" s="1" t="s">
        <v>15</v>
      </c>
      <c r="Q34" s="1">
        <f>SUM(Q10,Q13,Q16,Q19,Q22,Q25,Q28,Q31)</f>
        <v>0</v>
      </c>
      <c r="R34" s="1">
        <f>SUM(R10,R13,R16,R19,R22,R25,R28,R31)</f>
        <v>0</v>
      </c>
      <c r="S34" s="1">
        <f>SUM(S10,S13,S16,S19,S22,S25,S28,S31)</f>
        <v>0</v>
      </c>
      <c r="T34" s="1">
        <f>SUM(T10,T13,T16,T19,T22,T25,T28,T31)</f>
        <v>0</v>
      </c>
      <c r="U34" s="1">
        <f>SUM(U10,U13,U16,U19,U22,U25,U28,U31)</f>
        <v>0</v>
      </c>
      <c r="V34" s="1">
        <f>SUM(V10,V13,V16,V19,V22,V25,V28,V31)</f>
        <v>0</v>
      </c>
      <c r="W34" s="1">
        <f>SUM(W10,W13,W16,W19,W22,W25,W28,W31)</f>
        <v>0</v>
      </c>
      <c r="X34" s="1">
        <f>SUM(X10,X13,X16,X19,X22,X25,X28,X31)</f>
        <v>0</v>
      </c>
      <c r="Z34">
        <f>SUM(Q34:T34)</f>
        <v>0</v>
      </c>
      <c r="AA34">
        <f>SUM(U34:X34)</f>
        <v>0</v>
      </c>
    </row>
    <row r="35" spans="1:27">
      <c r="A35" s="53"/>
      <c r="B35" s="1" t="s">
        <v>16</v>
      </c>
      <c r="C35" s="1">
        <f>SUM(C11,C14,C17,C20,C23,C26,C29,C32)</f>
        <v>0</v>
      </c>
      <c r="D35" s="1">
        <f>SUM(D11,D14,D17,D20,D23,D26,D29,D32)</f>
        <v>0</v>
      </c>
      <c r="E35" s="1">
        <f>SUM(E11,E14,E17,E20,E23,E26,E29,E32)</f>
        <v>0</v>
      </c>
      <c r="F35" s="1">
        <f>SUM(F11,F14,F17,F20,F23,F26,F29,F32)</f>
        <v>0</v>
      </c>
      <c r="G35" s="1">
        <f>SUM(G11,G14,G17,G20,G23,G26,G29,G32)</f>
        <v>0</v>
      </c>
      <c r="H35" s="1">
        <f>SUM(H11,H14,H17,H20,H23,H26,H29,H32)</f>
        <v>0</v>
      </c>
      <c r="I35" s="1">
        <f>SUM(I11,I14,I17,I20,I23,I26,I29,I32)</f>
        <v>0</v>
      </c>
      <c r="J35" s="1">
        <f>SUM(J11,J14,J17,J20,J23,J26,J29,J32)</f>
        <v>0</v>
      </c>
      <c r="L35">
        <f>SUM(C35:F35)</f>
        <v>0</v>
      </c>
      <c r="M35">
        <f>SUM(G35:J35)</f>
        <v>0</v>
      </c>
      <c r="O35" s="64"/>
      <c r="P35" s="1" t="s">
        <v>16</v>
      </c>
      <c r="Q35" s="1">
        <f>SUM(Q11,Q14,Q17,Q20,Q23,Q26,Q29,Q32)</f>
        <v>0</v>
      </c>
      <c r="R35" s="1">
        <f>SUM(R11,R14,R17,R20,R23,R26,R29,R32)</f>
        <v>0</v>
      </c>
      <c r="S35" s="1">
        <f>SUM(S11,S14,S17,S20,S23,S26,S29,S32)</f>
        <v>0</v>
      </c>
      <c r="T35" s="1">
        <f>SUM(T11,T14,T17,T20,T23,T26,T29,T32)</f>
        <v>0</v>
      </c>
      <c r="U35" s="1">
        <f>SUM(U11,U14,U17,U20,U23,U26,U29,U32)</f>
        <v>0</v>
      </c>
      <c r="V35" s="1">
        <f>SUM(V11,V14,V17,V20,V23,V26,V29,V32)</f>
        <v>0</v>
      </c>
      <c r="W35" s="1">
        <f>SUM(W11,W14,W17,W20,W23,W26,W29,W32)</f>
        <v>0</v>
      </c>
      <c r="X35" s="1">
        <f>SUM(X11,X14,X17,X20,X23,X26,X29,X32)</f>
        <v>0</v>
      </c>
      <c r="Z35">
        <f>SUM(Q35:T35)</f>
        <v>0</v>
      </c>
      <c r="AA35">
        <f>SUM(U35:X35)</f>
        <v>0</v>
      </c>
    </row>
    <row r="36" spans="1:27">
      <c r="A36" s="54"/>
      <c r="B36" s="5" t="s">
        <v>17</v>
      </c>
      <c r="C36" s="5">
        <f>SUM(C34:C35)</f>
        <v>0</v>
      </c>
      <c r="D36" s="5">
        <f>SUM(D34:D35)</f>
        <v>0</v>
      </c>
      <c r="E36" s="5">
        <f>SUM(E34:E35)</f>
        <v>0</v>
      </c>
      <c r="F36" s="5">
        <f>SUM(F34:F35)</f>
        <v>0</v>
      </c>
      <c r="G36" s="5">
        <f>SUM(G34:G35)</f>
        <v>0</v>
      </c>
      <c r="H36" s="5">
        <f>SUM(H34:H35)</f>
        <v>0</v>
      </c>
      <c r="I36" s="5">
        <f>SUM(I34:I35)</f>
        <v>0</v>
      </c>
      <c r="J36" s="5">
        <f>SUM(J34:J35)</f>
        <v>0</v>
      </c>
      <c r="L36">
        <f>SUM(C36:F36)</f>
        <v>0</v>
      </c>
      <c r="M36">
        <f>SUM(G36:J36)</f>
        <v>0</v>
      </c>
      <c r="O36" s="65"/>
      <c r="P36" s="5" t="s">
        <v>17</v>
      </c>
      <c r="Q36" s="5">
        <f>SUM(Q34:Q35)</f>
        <v>0</v>
      </c>
      <c r="R36" s="5">
        <f>SUM(R34:R35)</f>
        <v>0</v>
      </c>
      <c r="S36" s="5">
        <f>SUM(S34:S35)</f>
        <v>0</v>
      </c>
      <c r="T36" s="5">
        <f>SUM(T34:T35)</f>
        <v>0</v>
      </c>
      <c r="U36" s="5">
        <f>SUM(U34:U35)</f>
        <v>0</v>
      </c>
      <c r="V36" s="5">
        <f>SUM(V34:V35)</f>
        <v>0</v>
      </c>
      <c r="W36" s="5">
        <f>SUM(W34:W35)</f>
        <v>0</v>
      </c>
      <c r="X36" s="5">
        <f>SUM(X34:X35)</f>
        <v>0</v>
      </c>
      <c r="Z36">
        <f>SUM(Q36:T36)</f>
        <v>0</v>
      </c>
      <c r="AA36">
        <f>SUM(U36:X36)</f>
        <v>0</v>
      </c>
    </row>
    <row r="37" spans="1:27" customHeight="1" ht="15">
      <c r="A37" s="52" t="s">
        <v>26</v>
      </c>
      <c r="B37" s="57" t="s">
        <v>2</v>
      </c>
      <c r="C37" s="58"/>
      <c r="D37" s="58"/>
      <c r="E37" s="58"/>
      <c r="F37" s="58"/>
      <c r="G37" s="58"/>
      <c r="H37" s="58"/>
      <c r="I37" s="58"/>
      <c r="J37" s="59"/>
      <c r="O37" s="52" t="s">
        <v>27</v>
      </c>
      <c r="P37" s="57" t="s">
        <v>3</v>
      </c>
      <c r="Q37" s="58"/>
      <c r="R37" s="58"/>
      <c r="S37" s="58"/>
      <c r="T37" s="58"/>
      <c r="U37" s="58"/>
      <c r="V37" s="58"/>
      <c r="W37" s="58"/>
      <c r="X37" s="59"/>
    </row>
    <row r="38" spans="1:27">
      <c r="A38" s="53"/>
      <c r="B38" s="60"/>
      <c r="C38" s="61"/>
      <c r="D38" s="61"/>
      <c r="E38" s="61"/>
      <c r="F38" s="61"/>
      <c r="G38" s="61"/>
      <c r="H38" s="61"/>
      <c r="I38" s="61"/>
      <c r="J38" s="62"/>
      <c r="O38" s="64"/>
      <c r="P38" s="60"/>
      <c r="Q38" s="61"/>
      <c r="R38" s="61"/>
      <c r="S38" s="61"/>
      <c r="T38" s="61"/>
      <c r="U38" s="61"/>
      <c r="V38" s="61"/>
      <c r="W38" s="61"/>
      <c r="X38" s="62"/>
    </row>
    <row r="39" spans="1:27">
      <c r="A39" s="54"/>
      <c r="B39" s="6"/>
      <c r="C39" s="6"/>
      <c r="D39" s="6"/>
      <c r="E39" s="6"/>
      <c r="F39" s="6"/>
      <c r="G39" s="6"/>
      <c r="H39" s="6"/>
      <c r="I39" s="6"/>
      <c r="J39" s="6"/>
      <c r="O39" s="65"/>
      <c r="P39" s="6"/>
      <c r="Q39" s="6"/>
      <c r="R39" s="6"/>
      <c r="S39" s="6"/>
      <c r="T39" s="6"/>
      <c r="U39" s="6"/>
      <c r="V39" s="6"/>
      <c r="W39" s="6"/>
      <c r="X39" s="6"/>
    </row>
    <row r="40" spans="1:27">
      <c r="A40" s="63" t="s">
        <v>28</v>
      </c>
      <c r="B40" s="7" t="s">
        <v>15</v>
      </c>
      <c r="C40" s="7">
        <v>0</v>
      </c>
      <c r="D40" s="7">
        <v>0</v>
      </c>
      <c r="E40" s="7">
        <v>0</v>
      </c>
      <c r="F40" s="7">
        <v>0</v>
      </c>
      <c r="G40" s="7">
        <v>0</v>
      </c>
      <c r="H40" s="7">
        <v>0</v>
      </c>
      <c r="I40" s="7">
        <v>0</v>
      </c>
      <c r="J40" s="7">
        <v>0</v>
      </c>
      <c r="L40">
        <f>SUM(C40:J40)</f>
        <v>0</v>
      </c>
      <c r="M40">
        <f>SUM(G40:J40)</f>
        <v>0</v>
      </c>
      <c r="O40" s="52" t="str">
        <f>A40</f>
        <v>All Kinder</v>
      </c>
      <c r="P40" s="7" t="s">
        <v>15</v>
      </c>
      <c r="Q40" s="7">
        <f>C40</f>
        <v>0</v>
      </c>
      <c r="R40" s="7">
        <f>D40</f>
        <v>0</v>
      </c>
      <c r="S40" s="7">
        <f>E40</f>
        <v>0</v>
      </c>
      <c r="T40" s="7">
        <f>F40</f>
        <v>0</v>
      </c>
      <c r="U40" s="7">
        <f>G40</f>
        <v>0</v>
      </c>
      <c r="V40" s="7">
        <f>H40</f>
        <v>0</v>
      </c>
      <c r="W40" s="7">
        <f>I40</f>
        <v>0</v>
      </c>
      <c r="X40" s="7">
        <f>J40</f>
        <v>0</v>
      </c>
      <c r="Z40">
        <f>SUM(Q40:T40)</f>
        <v>0</v>
      </c>
      <c r="AA40">
        <f>SUM(U40:X40)</f>
        <v>0</v>
      </c>
    </row>
    <row r="41" spans="1:27">
      <c r="A41" s="53"/>
      <c r="B41" s="7" t="s">
        <v>16</v>
      </c>
      <c r="C41" s="7">
        <v>0</v>
      </c>
      <c r="D41" s="7">
        <v>0</v>
      </c>
      <c r="E41" s="7">
        <v>0</v>
      </c>
      <c r="F41" s="7">
        <v>0</v>
      </c>
      <c r="G41" s="7">
        <v>0</v>
      </c>
      <c r="H41" s="7">
        <v>0</v>
      </c>
      <c r="I41" s="7">
        <v>0</v>
      </c>
      <c r="J41" s="7">
        <v>0</v>
      </c>
      <c r="L41">
        <f>SUM(C41:F41)</f>
        <v>0</v>
      </c>
      <c r="M41">
        <f>SUM(G41:J41)</f>
        <v>0</v>
      </c>
      <c r="O41" s="55"/>
      <c r="P41" s="7" t="s">
        <v>16</v>
      </c>
      <c r="Q41" s="7">
        <f>C41</f>
        <v>0</v>
      </c>
      <c r="R41" s="7">
        <f>D41</f>
        <v>0</v>
      </c>
      <c r="S41" s="7">
        <f>E41</f>
        <v>0</v>
      </c>
      <c r="T41" s="7">
        <f>F41</f>
        <v>0</v>
      </c>
      <c r="U41" s="7">
        <f>G41</f>
        <v>0</v>
      </c>
      <c r="V41" s="7">
        <f>H41</f>
        <v>0</v>
      </c>
      <c r="W41" s="7">
        <f>I41</f>
        <v>0</v>
      </c>
      <c r="X41" s="7">
        <f>J41</f>
        <v>0</v>
      </c>
      <c r="Z41">
        <f>SUM(Q41:T41)</f>
        <v>0</v>
      </c>
      <c r="AA41">
        <f>SUM(U41:X41)</f>
        <v>0</v>
      </c>
    </row>
    <row r="42" spans="1:27">
      <c r="A42" s="54"/>
      <c r="B42" s="8" t="s">
        <v>17</v>
      </c>
      <c r="C42" s="8">
        <f>SUM(C40:C41)</f>
        <v>0</v>
      </c>
      <c r="D42" s="8">
        <f>SUM(D40:D41)</f>
        <v>0</v>
      </c>
      <c r="E42" s="8">
        <f>SUM(E40:E41)</f>
        <v>0</v>
      </c>
      <c r="F42" s="8">
        <f>SUM(F40:F41)</f>
        <v>0</v>
      </c>
      <c r="G42" s="8">
        <f>SUM(G40:G41)</f>
        <v>0</v>
      </c>
      <c r="H42" s="8">
        <f>SUM(H40:H41)</f>
        <v>0</v>
      </c>
      <c r="I42" s="8">
        <f>SUM(I40:I41)</f>
        <v>0</v>
      </c>
      <c r="J42" s="8">
        <f>SUM(J40:J41)</f>
        <v>0</v>
      </c>
      <c r="L42">
        <f>SUM(C42:F42)</f>
        <v>0</v>
      </c>
      <c r="M42">
        <f>SUM(G42:J42)</f>
        <v>0</v>
      </c>
      <c r="O42" s="56"/>
      <c r="P42" s="8" t="s">
        <v>17</v>
      </c>
      <c r="Q42" s="8">
        <f>SUM(Q40:Q41)</f>
        <v>0</v>
      </c>
      <c r="R42" s="8">
        <f>SUM(R40:R41)</f>
        <v>0</v>
      </c>
      <c r="S42" s="8">
        <f>SUM(S40:S41)</f>
        <v>0</v>
      </c>
      <c r="T42" s="8">
        <f>SUM(T40:T41)</f>
        <v>0</v>
      </c>
      <c r="U42" s="8">
        <f>SUM(U40:U41)</f>
        <v>0</v>
      </c>
      <c r="V42" s="8">
        <f>SUM(V40:V41)</f>
        <v>0</v>
      </c>
      <c r="W42" s="8">
        <f>SUM(W40:W41)</f>
        <v>0</v>
      </c>
      <c r="X42" s="8">
        <f>SUM(X40:X41)</f>
        <v>0</v>
      </c>
      <c r="Z42">
        <f>SUM(Q42:T42)</f>
        <v>0</v>
      </c>
      <c r="AA42">
        <f>SUM(U42:X42)</f>
        <v>0</v>
      </c>
    </row>
    <row r="43" spans="1:27">
      <c r="A43" s="52" t="s">
        <v>29</v>
      </c>
      <c r="B43" s="7" t="s">
        <v>15</v>
      </c>
      <c r="C43" s="7">
        <v>0</v>
      </c>
      <c r="D43" s="7">
        <v>0</v>
      </c>
      <c r="E43" s="7">
        <f>_xlfn.COUNTIFS(#REF!, "m",#REF!, "&lt;&gt;*k*",#REF!, "*normal*",#REF!,  "stunted")
+_xlfn.COUNTIFS(#REF!, "m",#REF!, "&lt;&gt;*k*",#REF!, "*normal*",#REF!,  "severely stunted")</f>
        <v>0</v>
      </c>
      <c r="F43" s="7">
        <f>_xlfn.COUNTIFS(#REF!, "m",#REF!, "&lt;&gt;*k*",#REF!, "overweight",#REF!,  "stunted")
+_xlfn.COUNTIFS(#REF!, "m",#REF!, "&lt;&gt;*k*",#REF!, "overweight",#REF!,  "severely stunted")</f>
        <v>0</v>
      </c>
      <c r="G43" s="7">
        <f>_xlfn.COUNTIFS(#REF!, "m",#REF!, "&lt;&gt;*k*",#REF!, "severely stunted",#REF!, "*normal*")
+_xlfn.COUNTIFS(#REF!, "m",#REF!, "&lt;&gt;*k*",#REF!, "severely stunted",#REF!,  "overweight")</f>
        <v>0</v>
      </c>
      <c r="H43" s="7">
        <f>_xlfn.COUNTIFS(#REF!, "m",#REF!, "&lt;&gt;*k*",#REF!, "stunted",#REF!, "*normal*")
+_xlfn.COUNTIFS(#REF!, "m",#REF!, "&lt;&gt;*k*",#REF!, "stunted",#REF!,  "overweight")</f>
        <v>0</v>
      </c>
      <c r="I43" s="7">
        <v>0</v>
      </c>
      <c r="J43" s="7">
        <v>0</v>
      </c>
      <c r="L43">
        <f>SUM(C43:F43)</f>
        <v>0</v>
      </c>
      <c r="M43">
        <f>SUM(G43:J43)</f>
        <v>0</v>
      </c>
      <c r="O43" s="52" t="s">
        <v>30</v>
      </c>
      <c r="P43" s="7" t="s">
        <v>15</v>
      </c>
      <c r="Q43" s="7">
        <f>C43</f>
        <v>0</v>
      </c>
      <c r="R43" s="7">
        <f>D43</f>
        <v>0</v>
      </c>
      <c r="S43" s="7">
        <f>E43</f>
        <v>0</v>
      </c>
      <c r="T43" s="7">
        <f>F43</f>
        <v>0</v>
      </c>
      <c r="U43" s="7">
        <f>G43</f>
        <v>0</v>
      </c>
      <c r="V43" s="7">
        <f>H43</f>
        <v>0</v>
      </c>
      <c r="W43" s="7">
        <f>I43</f>
        <v>0</v>
      </c>
      <c r="X43" s="7">
        <f>J43</f>
        <v>0</v>
      </c>
      <c r="Z43">
        <f>SUM(Q43:T43)</f>
        <v>0</v>
      </c>
      <c r="AA43">
        <f>SUM(U43:X43)</f>
        <v>0</v>
      </c>
    </row>
    <row r="44" spans="1:27">
      <c r="A44" s="53"/>
      <c r="B44" s="7" t="s">
        <v>16</v>
      </c>
      <c r="C44" s="7">
        <v>0</v>
      </c>
      <c r="D44" s="7">
        <v>0</v>
      </c>
      <c r="E44" s="7">
        <f>_xlfn.COUNTIFS(#REF!, "f",#REF!, "&lt;&gt;*k*",#REF!, "*normal*",#REF!,  "stunted")
+_xlfn.COUNTIFS(#REF!, "f",#REF!, "&lt;&gt;*k*",#REF!, "*normal*",#REF!,  "severely stunted")</f>
        <v>0</v>
      </c>
      <c r="F44" s="7">
        <f>_xlfn.COUNTIFS(#REF!, "f",#REF!, "&lt;&gt;*k*",#REF!, "overweight",#REF!,  "stunted")
+_xlfn.COUNTIFS(#REF!, "f",#REF!, "&lt;&gt;*k*",#REF!, "overweight",#REF!,  "severely stunted")</f>
        <v>0</v>
      </c>
      <c r="G44" s="7">
        <f>_xlfn.COUNTIFS(#REF!, "f",#REF!, "&lt;&gt;*k*",#REF!, "severely stunted",#REF!, "*normal*")
+_xlfn.COUNTIFS(#REF!, "f",#REF!, "&lt;&gt;*k*",#REF!, "severely stunted",#REF!,  "overweight")</f>
        <v>0</v>
      </c>
      <c r="H44" s="7">
        <f>_xlfn.COUNTIFS(#REF!, "f",#REF!, "&lt;&gt;*k*",#REF!, "stunted",#REF!, "*normal*")
+_xlfn.COUNTIFS(#REF!, "f",#REF!, "&lt;&gt;*k*",#REF!, "stunted",#REF!,  "overweight")</f>
        <v>0</v>
      </c>
      <c r="I44" s="7">
        <v>0</v>
      </c>
      <c r="J44" s="7">
        <v>0</v>
      </c>
      <c r="L44">
        <f>SUM(C44:F44)</f>
        <v>0</v>
      </c>
      <c r="M44">
        <f>SUM(G44:J44)</f>
        <v>0</v>
      </c>
      <c r="O44" s="55"/>
      <c r="P44" s="7" t="s">
        <v>16</v>
      </c>
      <c r="Q44" s="7">
        <f>C44</f>
        <v>0</v>
      </c>
      <c r="R44" s="7">
        <f>D44</f>
        <v>0</v>
      </c>
      <c r="S44" s="7">
        <f>E44</f>
        <v>0</v>
      </c>
      <c r="T44" s="7">
        <f>F44</f>
        <v>0</v>
      </c>
      <c r="U44" s="7">
        <f>G44</f>
        <v>0</v>
      </c>
      <c r="V44" s="7">
        <f>H44</f>
        <v>0</v>
      </c>
      <c r="W44" s="7">
        <f>I44</f>
        <v>0</v>
      </c>
      <c r="X44" s="7">
        <f>J44</f>
        <v>0</v>
      </c>
      <c r="Z44">
        <f>SUM(Q44:T44)</f>
        <v>0</v>
      </c>
      <c r="AA44">
        <f>SUM(U44:X44)</f>
        <v>0</v>
      </c>
    </row>
    <row r="45" spans="1:27">
      <c r="A45" s="54"/>
      <c r="B45" s="8" t="s">
        <v>17</v>
      </c>
      <c r="C45" s="8">
        <f>SUM(C43:C44)</f>
        <v>0</v>
      </c>
      <c r="D45" s="8">
        <f>SUM(D43:D44)</f>
        <v>0</v>
      </c>
      <c r="E45" s="8">
        <f>SUM(E43:E44)</f>
        <v>0</v>
      </c>
      <c r="F45" s="8">
        <f>SUM(F43:F44)</f>
        <v>0</v>
      </c>
      <c r="G45" s="8">
        <f>SUM(G43:G44)</f>
        <v>0</v>
      </c>
      <c r="H45" s="8">
        <f>SUM(H43:H44)</f>
        <v>0</v>
      </c>
      <c r="I45" s="8">
        <f>SUM(I43:I44)</f>
        <v>0</v>
      </c>
      <c r="J45" s="8">
        <f>SUM(J43:J44)</f>
        <v>0</v>
      </c>
      <c r="L45">
        <f>SUM(C45:F45)</f>
        <v>0</v>
      </c>
      <c r="M45">
        <f>SUM(G45:J45)</f>
        <v>0</v>
      </c>
      <c r="O45" s="56"/>
      <c r="P45" s="8" t="s">
        <v>17</v>
      </c>
      <c r="Q45" s="8">
        <f>SUM(Q43:Q44)</f>
        <v>0</v>
      </c>
      <c r="R45" s="8">
        <f>SUM(R43:R44)</f>
        <v>0</v>
      </c>
      <c r="S45" s="8">
        <f>SUM(S43:S44)</f>
        <v>0</v>
      </c>
      <c r="T45" s="8">
        <f>SUM(T43:T44)</f>
        <v>0</v>
      </c>
      <c r="U45" s="8">
        <f>SUM(U43:U44)</f>
        <v>0</v>
      </c>
      <c r="V45" s="8">
        <f>SUM(V43:V44)</f>
        <v>0</v>
      </c>
      <c r="W45" s="8">
        <f>SUM(W43:W44)</f>
        <v>0</v>
      </c>
      <c r="X45" s="8">
        <f>SUM(X43:X44)</f>
        <v>0</v>
      </c>
      <c r="Z45">
        <f>SUM(Q45:T45)</f>
        <v>0</v>
      </c>
      <c r="AA45">
        <f>SUM(U45:X45)</f>
        <v>0</v>
      </c>
    </row>
    <row r="46" spans="1:27">
      <c r="A46" s="66" t="s">
        <v>31</v>
      </c>
      <c r="B46" s="7" t="s">
        <v>15</v>
      </c>
      <c r="C46" s="7">
        <v>0</v>
      </c>
      <c r="D46" s="7">
        <v>0</v>
      </c>
      <c r="E46" s="7">
        <v>0</v>
      </c>
      <c r="F46" s="7">
        <v>0</v>
      </c>
      <c r="G46" s="7">
        <v>0</v>
      </c>
      <c r="H46" s="7">
        <v>0</v>
      </c>
      <c r="I46" s="7">
        <v>0</v>
      </c>
      <c r="J46" s="7">
        <v>0</v>
      </c>
      <c r="L46">
        <f>SUM(C46:J46)</f>
        <v>0</v>
      </c>
      <c r="M46">
        <f>SUM(G46:J46)</f>
        <v>0</v>
      </c>
      <c r="O46" s="52" t="s">
        <v>31</v>
      </c>
      <c r="P46" s="7" t="s">
        <v>15</v>
      </c>
      <c r="Q46" s="7">
        <f>C46</f>
        <v>0</v>
      </c>
      <c r="R46" s="7">
        <f>D46</f>
        <v>0</v>
      </c>
      <c r="S46" s="7">
        <f>E46</f>
        <v>0</v>
      </c>
      <c r="T46" s="7">
        <f>F46</f>
        <v>0</v>
      </c>
      <c r="U46" s="7">
        <f>G46</f>
        <v>0</v>
      </c>
      <c r="V46" s="7">
        <f>H46</f>
        <v>0</v>
      </c>
      <c r="W46" s="7">
        <f>I46</f>
        <v>0</v>
      </c>
      <c r="X46" s="7">
        <f>J46</f>
        <v>0</v>
      </c>
      <c r="Z46">
        <f>SUM(Q46:T46)</f>
        <v>0</v>
      </c>
      <c r="AA46">
        <f>SUM(U46:X46)</f>
        <v>0</v>
      </c>
    </row>
    <row r="47" spans="1:27">
      <c r="A47" s="53"/>
      <c r="B47" s="7" t="s">
        <v>16</v>
      </c>
      <c r="C47" s="7">
        <v>0</v>
      </c>
      <c r="D47" s="7">
        <v>0</v>
      </c>
      <c r="E47" s="7">
        <v>0</v>
      </c>
      <c r="F47" s="7">
        <v>0</v>
      </c>
      <c r="G47" s="7">
        <v>0</v>
      </c>
      <c r="H47" s="7">
        <v>0</v>
      </c>
      <c r="I47" s="7">
        <v>0</v>
      </c>
      <c r="J47" s="7">
        <v>0</v>
      </c>
      <c r="L47">
        <f>SUM(C47:J47)</f>
        <v>0</v>
      </c>
      <c r="M47">
        <f>SUM(G47:J47)</f>
        <v>0</v>
      </c>
      <c r="O47" s="55"/>
      <c r="P47" s="7" t="s">
        <v>16</v>
      </c>
      <c r="Q47" s="7">
        <f>C47</f>
        <v>0</v>
      </c>
      <c r="R47" s="7">
        <f>D47</f>
        <v>0</v>
      </c>
      <c r="S47" s="7">
        <f>E47</f>
        <v>0</v>
      </c>
      <c r="T47" s="7">
        <f>F47</f>
        <v>0</v>
      </c>
      <c r="U47" s="7">
        <f>G47</f>
        <v>0</v>
      </c>
      <c r="V47" s="7">
        <f>H47</f>
        <v>0</v>
      </c>
      <c r="W47" s="7">
        <f>I47</f>
        <v>0</v>
      </c>
      <c r="X47" s="7">
        <f>J47</f>
        <v>0</v>
      </c>
      <c r="Z47">
        <f>SUM(Q47:T47)</f>
        <v>0</v>
      </c>
      <c r="AA47">
        <f>SUM(U47:X47)</f>
        <v>0</v>
      </c>
    </row>
    <row r="48" spans="1:27">
      <c r="A48" s="54"/>
      <c r="B48" s="8" t="s">
        <v>17</v>
      </c>
      <c r="C48" s="8">
        <f>SUM(C46:C47)</f>
        <v>0</v>
      </c>
      <c r="D48" s="8">
        <f>SUM(D46:D47)</f>
        <v>0</v>
      </c>
      <c r="E48" s="8">
        <f>SUM(E46:E47)</f>
        <v>0</v>
      </c>
      <c r="F48" s="8">
        <f>SUM(F46:F47)</f>
        <v>0</v>
      </c>
      <c r="G48" s="8">
        <f>SUM(G46:G47)</f>
        <v>0</v>
      </c>
      <c r="H48" s="8">
        <f>SUM(H46:H47)</f>
        <v>0</v>
      </c>
      <c r="I48" s="8">
        <f>SUM(I46:I47)</f>
        <v>0</v>
      </c>
      <c r="J48" s="8">
        <f>SUM(J46:J47)</f>
        <v>0</v>
      </c>
      <c r="L48">
        <f>SUM(C48:F48)</f>
        <v>0</v>
      </c>
      <c r="M48">
        <f>SUM(G48:J48)</f>
        <v>0</v>
      </c>
      <c r="O48" s="56"/>
      <c r="P48" s="8" t="s">
        <v>17</v>
      </c>
      <c r="Q48" s="8">
        <f>SUM(Q46:Q47)</f>
        <v>0</v>
      </c>
      <c r="R48" s="8">
        <f>SUM(R46:R47)</f>
        <v>0</v>
      </c>
      <c r="S48" s="8">
        <f>SUM(S46:S47)</f>
        <v>0</v>
      </c>
      <c r="T48" s="8">
        <f>SUM(T46:T47)</f>
        <v>0</v>
      </c>
      <c r="U48" s="8">
        <f>SUM(U46:U47)</f>
        <v>0</v>
      </c>
      <c r="V48" s="8">
        <f>SUM(V46:V47)</f>
        <v>0</v>
      </c>
      <c r="W48" s="8">
        <f>SUM(W46:W47)</f>
        <v>0</v>
      </c>
      <c r="X48" s="8">
        <f>SUM(X46:X47)</f>
        <v>0</v>
      </c>
      <c r="Z48">
        <f>SUM(Q48:T48)</f>
        <v>0</v>
      </c>
      <c r="AA48">
        <f>SUM(U48:X48)</f>
        <v>0</v>
      </c>
    </row>
    <row r="49" spans="1:27">
      <c r="A49" s="52" t="s">
        <v>32</v>
      </c>
      <c r="B49" s="7" t="s">
        <v>15</v>
      </c>
      <c r="C49" s="7">
        <v>0</v>
      </c>
      <c r="D49" s="7">
        <v>0</v>
      </c>
      <c r="E49" s="7">
        <f>_xlfn.COUNTIFS(#REF!, "m",#REF!, "&lt;&gt;*k*",#REF!, "*normal*",#REF!, "*normal*",#REF!, "yes",#REF!, "no")
+_xlfn.COUNTIFS(#REF!, "m",#REF!, "&lt;&gt;*k*",#REF!, "*normal*",#REF!,  "tall",#REF!, "yes",#REF!, "no")
+_xlfn.COUNTIFS(#REF!, "m",#REF!, "&lt;&gt;*k*",#REF!, "*normal*",#REF!, "*normal*",#REF!, "yes",#REF!, "yes")
+_xlfn.COUNTIFS(#REF!, "m",#REF!, "&lt;&gt;*k*",#REF!, "*normal*",#REF!,  "tall",#REF!, "yes",#REF!, "yes")</f>
        <v>0</v>
      </c>
      <c r="F49" s="7">
        <f>_xlfn.COUNTIFS(#REF!, "m",#REF!, "&lt;&gt;*k*",#REF!, "*overweight*",#REF!, "*normal*",#REF!, "yes",#REF!, "no")
+_xlfn.COUNTIFS(#REF!, "m",#REF!, "&lt;&gt;*k*",#REF!, "*overweight*",#REF!,  "tall",#REF!, "yes",#REF!, "no")
+_xlfn.COUNTIFS(#REF!, "m",#REF!, "&lt;&gt;*k*",#REF!, "*overweight*",#REF!, "*normal*",#REF!, "yes",#REF!, "yes")
+_xlfn.COUNTIFS(#REF!, "m",#REF!, "&lt;&gt;*k*",#REF!, "*overweight*",#REF!,  "tall",#REF!, "yes",#REF!, "yes")</f>
        <v>0</v>
      </c>
      <c r="G49" s="7">
        <v>0</v>
      </c>
      <c r="H49" s="7">
        <v>0</v>
      </c>
      <c r="I49" s="7">
        <f>_xlfn.COUNTIFS(#REF!, "m",#REF!, "&lt;&gt;*k*",#REF!, "*normal*",#REF!, "*normal*",#REF!, "yes",#REF!, "no")
+_xlfn.COUNTIFS(#REF!, "m",#REF!, "&lt;&gt;*k*",#REF!, "*normal*",#REF!,  "overweight",#REF!, "yes",#REF!, "no")
+_xlfn.COUNTIFS(#REF!, "m",#REF!, "&lt;&gt;*k*",#REF!, "*normal*",#REF!, "*normal*",#REF!, "yes",#REF!, "yes")
+_xlfn.COUNTIFS(#REF!, "m",#REF!, "&lt;&gt;*k*",#REF!, "*normal*",#REF!,  "overweight",#REF!, "yes",#REF!, "yes")</f>
        <v>0</v>
      </c>
      <c r="J49" s="7">
        <f>_xlfn.COUNTIFS(#REF!, "m",#REF!, "&lt;&gt;*k*",#REF!, "*tall*",#REF!, "*normal*",#REF!, "yes",#REF!, "no")
+_xlfn.COUNTIFS(#REF!, "m",#REF!, "&lt;&gt;*k*",#REF!, "*tall*",#REF!,  "overweigth",#REF!, "yes",#REF!, "no")
+_xlfn.COUNTIFS(#REF!, "m",#REF!, "&lt;&gt;*k*",#REF!, "*tall*",#REF!, "*normal*",#REF!, "yes",#REF!, "yes")
+_xlfn.COUNTIFS(#REF!, "m",#REF!, "&lt;&gt;*k*",#REF!, "*tall*",#REF!,  "overweigth",#REF!, "yes",#REF!, "yes")</f>
        <v>0</v>
      </c>
      <c r="L49">
        <f>SUM(C49:F49)</f>
        <v>0</v>
      </c>
      <c r="M49">
        <f>SUM(G49:J49)</f>
        <v>0</v>
      </c>
      <c r="O49" s="52" t="s">
        <v>33</v>
      </c>
      <c r="P49" s="7" t="s">
        <v>15</v>
      </c>
      <c r="Q49" s="7">
        <f>C49</f>
        <v>0</v>
      </c>
      <c r="R49" s="7">
        <f>D49</f>
        <v>0</v>
      </c>
      <c r="S49" s="7">
        <f>E49</f>
        <v>0</v>
      </c>
      <c r="T49" s="7">
        <f>F49</f>
        <v>0</v>
      </c>
      <c r="U49" s="7">
        <f>G49</f>
        <v>0</v>
      </c>
      <c r="V49" s="7">
        <f>H49</f>
        <v>0</v>
      </c>
      <c r="W49" s="7">
        <f>I49</f>
        <v>0</v>
      </c>
      <c r="X49" s="7">
        <f>J49</f>
        <v>0</v>
      </c>
      <c r="Z49">
        <f>SUM(Q49:T49)</f>
        <v>0</v>
      </c>
      <c r="AA49">
        <f>SUM(U49:X49)</f>
        <v>0</v>
      </c>
    </row>
    <row r="50" spans="1:27">
      <c r="A50" s="53"/>
      <c r="B50" s="7" t="s">
        <v>16</v>
      </c>
      <c r="C50" s="7">
        <v>0</v>
      </c>
      <c r="D50" s="7">
        <v>0</v>
      </c>
      <c r="E50" s="7">
        <f>_xlfn.COUNTIFS(#REF!, "f",#REF!, "&lt;&gt;*k*",#REF!, "*normal*",#REF!, "*normal*",#REF!, "yes",#REF!, "no")
+_xlfn.COUNTIFS(#REF!, "f",#REF!, "&lt;&gt;*k*",#REF!, "*normal*",#REF!,  "tall",#REF!, "yes",#REF!, "no")
+_xlfn.COUNTIFS(#REF!, "f",#REF!, "&lt;&gt;*k*",#REF!, "*normal*",#REF!, "*normal*",#REF!, "yes",#REF!, "yes")
+_xlfn.COUNTIFS(#REF!, "f",#REF!, "&lt;&gt;*k*",#REF!, "*normal*",#REF!,  "tall",#REF!, "yes",#REF!, "yes")</f>
        <v>0</v>
      </c>
      <c r="F50" s="7">
        <f>_xlfn.COUNTIFS(#REF!, "f",#REF!, "&lt;&gt;*k*",#REF!, "*overweight*",#REF!, "*normal*",#REF!, "yes",#REF!, "no")
+_xlfn.COUNTIFS(#REF!, "f",#REF!, "&lt;&gt;*k*",#REF!, "*overweight*",#REF!,  "tall",#REF!, "yes",#REF!, "no")
+_xlfn.COUNTIFS(#REF!, "f",#REF!, "&lt;&gt;*k*",#REF!, "*overweight*",#REF!, "*normal*",#REF!, "yes",#REF!, "yes")
+_xlfn.COUNTIFS(#REF!, "f",#REF!, "&lt;&gt;*k*",#REF!, "*overweight*",#REF!,  "tall",#REF!, "yes",#REF!, "yes")</f>
        <v>0</v>
      </c>
      <c r="G50" s="7">
        <v>0</v>
      </c>
      <c r="H50" s="7">
        <v>0</v>
      </c>
      <c r="I50" s="7">
        <f>_xlfn.COUNTIFS(#REF!, "f",#REF!, "&lt;&gt;*k*",#REF!, "*normal*",#REF!, "*normal*",#REF!, "yes",#REF!, "no")
+_xlfn.COUNTIFS(#REF!, "f",#REF!, "&lt;&gt;*k*",#REF!, "*normal*",#REF!,  "overweight",#REF!, "yes",#REF!, "no")
+_xlfn.COUNTIFS(#REF!, "f",#REF!, "&lt;&gt;*k*",#REF!, "*normal*",#REF!, "*normal*",#REF!, "yes",#REF!, "yes")
+_xlfn.COUNTIFS(#REF!, "f",#REF!, "&lt;&gt;*k*",#REF!, "*normal*",#REF!,  "overweight",#REF!, "yes",#REF!, "yes")</f>
        <v>0</v>
      </c>
      <c r="J50" s="7">
        <f>_xlfn.COUNTIFS(#REF!, "f",#REF!, "&lt;&gt;*k*",#REF!, "*tall*",#REF!, "*normal*",#REF!, "yes",#REF!, "no")
+_xlfn.COUNTIFS(#REF!, "f",#REF!, "&lt;&gt;*k*",#REF!, "*tall*",#REF!,  "overweigth",#REF!, "yes",#REF!, "no")
+_xlfn.COUNTIFS(#REF!, "f",#REF!, "&lt;&gt;*k*",#REF!, "*tall*",#REF!, "*normal*",#REF!, "yes",#REF!, "yes")
+_xlfn.COUNTIFS(#REF!, "f",#REF!, "&lt;&gt;*k*",#REF!, "*tall*",#REF!,  "overweigth",#REF!, "yes",#REF!, "yes")</f>
        <v>0</v>
      </c>
      <c r="L50">
        <f>SUM(C50:F50)</f>
        <v>0</v>
      </c>
      <c r="M50">
        <f>SUM(G50:J50)</f>
        <v>0</v>
      </c>
      <c r="O50" s="55"/>
      <c r="P50" s="7" t="s">
        <v>16</v>
      </c>
      <c r="Q50" s="7">
        <f>C50</f>
        <v>0</v>
      </c>
      <c r="R50" s="7">
        <f>D50</f>
        <v>0</v>
      </c>
      <c r="S50" s="7">
        <f>E50</f>
        <v>0</v>
      </c>
      <c r="T50" s="7">
        <f>F50</f>
        <v>0</v>
      </c>
      <c r="U50" s="7">
        <f>G50</f>
        <v>0</v>
      </c>
      <c r="V50" s="7">
        <f>H50</f>
        <v>0</v>
      </c>
      <c r="W50" s="7">
        <f>I50</f>
        <v>0</v>
      </c>
      <c r="X50" s="7">
        <f>J50</f>
        <v>0</v>
      </c>
      <c r="Z50">
        <f>SUM(Q50:T50)</f>
        <v>0</v>
      </c>
      <c r="AA50">
        <f>SUM(U50:X50)</f>
        <v>0</v>
      </c>
    </row>
    <row r="51" spans="1:27">
      <c r="A51" s="54"/>
      <c r="B51" s="8" t="s">
        <v>17</v>
      </c>
      <c r="C51" s="8">
        <f>SUM(C49:C50)</f>
        <v>0</v>
      </c>
      <c r="D51" s="8">
        <f>SUM(D49:D50)</f>
        <v>0</v>
      </c>
      <c r="E51" s="8">
        <f>SUM(E49:E50)</f>
        <v>0</v>
      </c>
      <c r="F51" s="8">
        <f>SUM(F49:F50)</f>
        <v>0</v>
      </c>
      <c r="G51" s="8">
        <f>SUM(G49:G50)</f>
        <v>0</v>
      </c>
      <c r="H51" s="8">
        <f>SUM(H49:H50)</f>
        <v>0</v>
      </c>
      <c r="I51" s="8">
        <f>SUM(I49:I50)</f>
        <v>0</v>
      </c>
      <c r="J51" s="8">
        <f>SUM(J49:J50)</f>
        <v>0</v>
      </c>
      <c r="L51">
        <f>SUM(C51:F51)</f>
        <v>0</v>
      </c>
      <c r="M51">
        <f>SUM(G51:J51)</f>
        <v>0</v>
      </c>
      <c r="O51" s="56"/>
      <c r="P51" s="8" t="s">
        <v>17</v>
      </c>
      <c r="Q51" s="8">
        <f>SUM(Q49:Q50)</f>
        <v>0</v>
      </c>
      <c r="R51" s="8">
        <f>SUM(R49:R50)</f>
        <v>0</v>
      </c>
      <c r="S51" s="8">
        <f>SUM(S49:S50)</f>
        <v>0</v>
      </c>
      <c r="T51" s="8">
        <f>SUM(T49:T50)</f>
        <v>0</v>
      </c>
      <c r="U51" s="8">
        <f>SUM(U49:U50)</f>
        <v>0</v>
      </c>
      <c r="V51" s="8">
        <f>SUM(V49:V50)</f>
        <v>0</v>
      </c>
      <c r="W51" s="8">
        <f>SUM(W49:W50)</f>
        <v>0</v>
      </c>
      <c r="X51" s="8">
        <f>SUM(X49:X50)</f>
        <v>0</v>
      </c>
      <c r="Z51">
        <f>SUM(Q51:T51)</f>
        <v>0</v>
      </c>
      <c r="AA51">
        <f>SUM(U51:X51)</f>
        <v>0</v>
      </c>
    </row>
    <row r="52" spans="1:27">
      <c r="A52" s="52" t="s">
        <v>34</v>
      </c>
      <c r="B52" s="7" t="s">
        <v>15</v>
      </c>
      <c r="C52" s="7">
        <v>0</v>
      </c>
      <c r="D52" s="7">
        <v>0</v>
      </c>
      <c r="E52" s="7">
        <f>_xlfn.COUNTIFS(#REF!, "m",#REF!, "&lt;&gt;*k*",#REF!, "*normal*",#REF!, "*normal*",#REF!, "no",#REF!, "yes")
+_xlfn.COUNTIFS(#REF!, "m",#REF!, "&lt;&gt;*k*",#REF!, "*normal*",#REF!,  "tall",#REF!, "no",#REF!, "yes")</f>
        <v>0</v>
      </c>
      <c r="F52" s="7">
        <f>_xlfn.COUNTIFS(#REF!, "m",#REF!, "&lt;&gt;*k*",#REF!, "*overweight*",#REF!, "*normal*",#REF!, "no",#REF!, "yes")
+_xlfn.COUNTIFS(#REF!, "m",#REF!, "&lt;&gt;*k*",#REF!, "*overweight*",#REF!,  "tall",#REF!, "no",#REF!, "yes")</f>
        <v>0</v>
      </c>
      <c r="G52" s="7">
        <v>0</v>
      </c>
      <c r="H52" s="7">
        <v>0</v>
      </c>
      <c r="I52" s="7">
        <f>_xlfn.COUNTIFS(#REF!, "m",#REF!, "&lt;&gt;*k*",#REF!, "*normal*",#REF!, "*normal*",#REF!, "no",#REF!, "yes")
+_xlfn.COUNTIFS(#REF!, "m",#REF!, "&lt;&gt;*k*",#REF!, "*normal*",#REF!,  "*overweight*",#REF!, "no",#REF!, "yes")</f>
        <v>0</v>
      </c>
      <c r="J52" s="7">
        <f>_xlfn.COUNTIFS(#REF!, "m",#REF!, "&lt;&gt;*k*",#REF!, "*tall*",#REF!, "*normal*",#REF!, "no",#REF!, "yes")
+_xlfn.COUNTIFS(#REF!, "m",#REF!, "&lt;&gt;*k*",#REF!, "*tall*",#REF!,  "overweigth",#REF!, "no",#REF!, "yes")</f>
        <v>0</v>
      </c>
      <c r="L52">
        <f>SUM(C52:J52)</f>
        <v>0</v>
      </c>
      <c r="M52">
        <f>SUM(G52:J52)</f>
        <v>0</v>
      </c>
      <c r="O52" s="52" t="s">
        <v>35</v>
      </c>
      <c r="P52" s="7" t="s">
        <v>15</v>
      </c>
      <c r="Q52" s="7">
        <f>C52</f>
        <v>0</v>
      </c>
      <c r="R52" s="7">
        <f>D52</f>
        <v>0</v>
      </c>
      <c r="S52" s="7">
        <f>E52</f>
        <v>0</v>
      </c>
      <c r="T52" s="7">
        <f>F52</f>
        <v>0</v>
      </c>
      <c r="U52" s="7">
        <f>G52</f>
        <v>0</v>
      </c>
      <c r="V52" s="7">
        <f>H52</f>
        <v>0</v>
      </c>
      <c r="W52" s="7">
        <f>I52</f>
        <v>0</v>
      </c>
      <c r="X52" s="7">
        <f>J52</f>
        <v>0</v>
      </c>
      <c r="Z52">
        <f>SUM(Q52:T52)</f>
        <v>0</v>
      </c>
      <c r="AA52">
        <f>SUM(U52:X52)</f>
        <v>0</v>
      </c>
    </row>
    <row r="53" spans="1:27">
      <c r="A53" s="53"/>
      <c r="B53" s="7" t="s">
        <v>16</v>
      </c>
      <c r="C53" s="7">
        <v>0</v>
      </c>
      <c r="D53" s="7">
        <v>0</v>
      </c>
      <c r="E53" s="7">
        <f>_xlfn.COUNTIFS(#REF!, "f",#REF!, "&lt;&gt;*k*",#REF!, "*normal*",#REF!, "*normal*",#REF!, "no",#REF!, "yes")
+_xlfn.COUNTIFS(#REF!, "f",#REF!, "&lt;&gt;*k*",#REF!, "*normal*",#REF!,  "tall",#REF!, "no",#REF!, "yes")</f>
        <v>0</v>
      </c>
      <c r="F53" s="7">
        <f>_xlfn.COUNTIFS(#REF!, "f",#REF!, "&lt;&gt;*k*",#REF!, "*overweight*",#REF!, "*normal*",#REF!, "no",#REF!, "yes")
+_xlfn.COUNTIFS(#REF!, "f",#REF!, "&lt;&gt;*k*",#REF!, "*overweight*",#REF!,  "tall",#REF!, "no",#REF!, "yes")</f>
        <v>0</v>
      </c>
      <c r="G53" s="7">
        <v>0</v>
      </c>
      <c r="H53" s="7">
        <v>0</v>
      </c>
      <c r="I53" s="7">
        <f>_xlfn.COUNTIFS(#REF!, "f",#REF!, "&lt;&gt;*k*",#REF!, "*normal*",#REF!, "*normal*",#REF!, "no",#REF!, "yes")
+_xlfn.COUNTIFS(#REF!, "f",#REF!, "&lt;&gt;*k*",#REF!, "*normal*",#REF!,  "*overweigth*",#REF!, "no",#REF!, "yes")</f>
        <v>0</v>
      </c>
      <c r="J53" s="7">
        <f>_xlfn.COUNTIFS(#REF!, "f",#REF!, "&lt;&gt;*k*",#REF!, "*tall*",#REF!, "*normal*",#REF!, "no",#REF!, "yes")
+_xlfn.COUNTIFS(#REF!, "f",#REF!, "&lt;&gt;*k*",#REF!, "*tall*",#REF!,  "overweigth",#REF!, "no",#REF!, "yes")</f>
        <v>0</v>
      </c>
      <c r="L53">
        <f>SUM(C53:F53)</f>
        <v>0</v>
      </c>
      <c r="M53">
        <f>SUM(G53:J53)</f>
        <v>0</v>
      </c>
      <c r="O53" s="55"/>
      <c r="P53" s="7" t="s">
        <v>16</v>
      </c>
      <c r="Q53" s="7">
        <f>C53</f>
        <v>0</v>
      </c>
      <c r="R53" s="7">
        <f>D53</f>
        <v>0</v>
      </c>
      <c r="S53" s="7">
        <f>E53</f>
        <v>0</v>
      </c>
      <c r="T53" s="7">
        <f>F53</f>
        <v>0</v>
      </c>
      <c r="U53" s="7">
        <f>G53</f>
        <v>0</v>
      </c>
      <c r="V53" s="7">
        <f>H53</f>
        <v>0</v>
      </c>
      <c r="W53" s="7">
        <f>I53</f>
        <v>0</v>
      </c>
      <c r="X53" s="7">
        <f>J53</f>
        <v>0</v>
      </c>
      <c r="Z53">
        <f>SUM(Q53:T53)</f>
        <v>0</v>
      </c>
      <c r="AA53">
        <f>SUM(U53:X53)</f>
        <v>0</v>
      </c>
    </row>
    <row r="54" spans="1:27">
      <c r="A54" s="54"/>
      <c r="B54" s="8" t="s">
        <v>17</v>
      </c>
      <c r="C54" s="8">
        <f>SUM(C52:C53)</f>
        <v>0</v>
      </c>
      <c r="D54" s="8">
        <f>SUM(D52:D53)</f>
        <v>0</v>
      </c>
      <c r="E54" s="8">
        <f>SUM(E52:E53)</f>
        <v>0</v>
      </c>
      <c r="F54" s="8">
        <f>SUM(F52:F53)</f>
        <v>0</v>
      </c>
      <c r="G54" s="8">
        <f>SUM(G52:G53)</f>
        <v>0</v>
      </c>
      <c r="H54" s="8">
        <f>SUM(H52:H53)</f>
        <v>0</v>
      </c>
      <c r="I54" s="8">
        <f>SUM(I52:I53)</f>
        <v>0</v>
      </c>
      <c r="J54" s="8">
        <f>SUM(J52:J53)</f>
        <v>0</v>
      </c>
      <c r="L54">
        <f>SUM(C54:F54)</f>
        <v>0</v>
      </c>
      <c r="M54">
        <f>SUM(G54:J54)</f>
        <v>0</v>
      </c>
      <c r="O54" s="56"/>
      <c r="P54" s="8" t="s">
        <v>17</v>
      </c>
      <c r="Q54" s="8">
        <f>SUM(Q52:Q53)</f>
        <v>0</v>
      </c>
      <c r="R54" s="8">
        <f>SUM(R52:R53)</f>
        <v>0</v>
      </c>
      <c r="S54" s="8">
        <f>SUM(S52:S53)</f>
        <v>0</v>
      </c>
      <c r="T54" s="8">
        <f>SUM(T52:T53)</f>
        <v>0</v>
      </c>
      <c r="U54" s="8">
        <f>SUM(U52:U53)</f>
        <v>0</v>
      </c>
      <c r="V54" s="8">
        <f>SUM(V52:V53)</f>
        <v>0</v>
      </c>
      <c r="W54" s="8">
        <f>SUM(W52:W53)</f>
        <v>0</v>
      </c>
      <c r="X54" s="8">
        <f>SUM(X52:X53)</f>
        <v>0</v>
      </c>
      <c r="Z54">
        <f>SUM(Q54:T54)</f>
        <v>0</v>
      </c>
      <c r="AA54">
        <f>SUM(U54:X54)</f>
        <v>0</v>
      </c>
    </row>
    <row r="55" spans="1:27">
      <c r="A55" s="52" t="s">
        <v>36</v>
      </c>
      <c r="B55" s="9" t="s">
        <v>15</v>
      </c>
      <c r="C55" s="9">
        <f>SUM(C40,C43,C46,C49,C52)</f>
        <v>0</v>
      </c>
      <c r="D55" s="9">
        <f>SUM(D40,D43,D46,D49,D52)</f>
        <v>0</v>
      </c>
      <c r="E55" s="9">
        <f>SUM(E40,E43,E46,E49,E52)</f>
        <v>0</v>
      </c>
      <c r="F55" s="9">
        <f>SUM(F40,F43,F46,F49,F52)</f>
        <v>0</v>
      </c>
      <c r="G55" s="9">
        <f>SUM(G40,G43,G46,G49,G52)</f>
        <v>0</v>
      </c>
      <c r="H55" s="9">
        <f>SUM(H40,H43,H46,H49,H52)</f>
        <v>0</v>
      </c>
      <c r="I55" s="9">
        <f>SUM(I40,I43,I46,I49,I52)</f>
        <v>0</v>
      </c>
      <c r="J55" s="9">
        <f>SUM(J40,J43,J46,J49,J52)</f>
        <v>0</v>
      </c>
      <c r="L55">
        <f>SUM(C55:F55)</f>
        <v>0</v>
      </c>
      <c r="M55">
        <f>SUM(G55:J55)</f>
        <v>0</v>
      </c>
      <c r="O55" s="52" t="s">
        <v>37</v>
      </c>
      <c r="P55" s="9" t="s">
        <v>15</v>
      </c>
      <c r="Q55" s="9">
        <f>SUM(Q40,Q43,Q46,Q49,Q52)</f>
        <v>0</v>
      </c>
      <c r="R55" s="9">
        <f>SUM(R40,R43,R46,R49,R52)</f>
        <v>0</v>
      </c>
      <c r="S55" s="9">
        <f>SUM(S40,S43,S46,S49,S52)</f>
        <v>0</v>
      </c>
      <c r="T55" s="9">
        <f>SUM(T40,T43,T46,T49,T52)</f>
        <v>0</v>
      </c>
      <c r="U55" s="9">
        <f>SUM(U40,U43,U46,U49,U52)</f>
        <v>0</v>
      </c>
      <c r="V55" s="9">
        <f>SUM(V40,V43,V46,V49,V52)</f>
        <v>0</v>
      </c>
      <c r="W55" s="9">
        <f>SUM(W40,W43,W46,W49,W52)</f>
        <v>0</v>
      </c>
      <c r="X55" s="9">
        <f>SUM(X40,X43,X46,X49,X52)</f>
        <v>0</v>
      </c>
      <c r="Z55">
        <f>SUM(Q55:T55)</f>
        <v>0</v>
      </c>
      <c r="AA55">
        <f>SUM(U55:X55)</f>
        <v>0</v>
      </c>
    </row>
    <row r="56" spans="1:27">
      <c r="A56" s="53"/>
      <c r="B56" s="9" t="s">
        <v>16</v>
      </c>
      <c r="C56" s="9">
        <f>SUM(C41,C44,C47,C50,C53)</f>
        <v>0</v>
      </c>
      <c r="D56" s="9">
        <f>SUM(D41,D44,D47,D50,D53)</f>
        <v>0</v>
      </c>
      <c r="E56" s="9">
        <f>SUM(E41,E44,E47,E50,E53)</f>
        <v>0</v>
      </c>
      <c r="F56" s="9">
        <f>SUM(F41,F44,F47,F50,F53)</f>
        <v>0</v>
      </c>
      <c r="G56" s="9">
        <f>SUM(G41,G44,G47,G50,G53)</f>
        <v>0</v>
      </c>
      <c r="H56" s="9">
        <f>SUM(H41,H44,H47,H50,H53)</f>
        <v>0</v>
      </c>
      <c r="I56" s="9">
        <f>SUM(I41,I44,I47,I50,I53)</f>
        <v>0</v>
      </c>
      <c r="J56" s="9">
        <f>SUM(J41,J44,J47,J50,J53)</f>
        <v>0</v>
      </c>
      <c r="L56">
        <f>SUM(C56:F56)</f>
        <v>0</v>
      </c>
      <c r="M56">
        <f>SUM(G56:J56)</f>
        <v>0</v>
      </c>
      <c r="O56" s="55"/>
      <c r="P56" s="9" t="s">
        <v>16</v>
      </c>
      <c r="Q56" s="9">
        <f>SUM(Q41,Q44,Q47,Q50,Q53)</f>
        <v>0</v>
      </c>
      <c r="R56" s="9">
        <f>SUM(R41,R44,R47,R50,R53)</f>
        <v>0</v>
      </c>
      <c r="S56" s="9">
        <f>SUM(S41,S44,S47,S50,S53)</f>
        <v>0</v>
      </c>
      <c r="T56" s="9">
        <f>SUM(T41,T44,T47,T50,T53)</f>
        <v>0</v>
      </c>
      <c r="U56" s="9">
        <f>SUM(U41,U44,U47,U50,U53)</f>
        <v>0</v>
      </c>
      <c r="V56" s="9">
        <f>SUM(V41,V44,V47,V50,V53)</f>
        <v>0</v>
      </c>
      <c r="W56" s="9">
        <f>SUM(W41,W44,W47,W50,W53)</f>
        <v>0</v>
      </c>
      <c r="X56" s="9">
        <f>SUM(X41,X44,X47,X50,X53)</f>
        <v>0</v>
      </c>
      <c r="Z56">
        <f>SUM(Q56:T56)</f>
        <v>0</v>
      </c>
      <c r="AA56">
        <f>SUM(U56:X56)</f>
        <v>0</v>
      </c>
    </row>
    <row r="57" spans="1:27">
      <c r="A57" s="54"/>
      <c r="B57" s="8" t="s">
        <v>17</v>
      </c>
      <c r="C57" s="8">
        <f>SUM(C55:C56)</f>
        <v>0</v>
      </c>
      <c r="D57" s="8">
        <f>SUM(D55:D56)</f>
        <v>0</v>
      </c>
      <c r="E57" s="8">
        <f>SUM(E55:E56)</f>
        <v>0</v>
      </c>
      <c r="F57" s="8">
        <f>SUM(F55:F56)</f>
        <v>0</v>
      </c>
      <c r="G57" s="8">
        <f>SUM(G55:G56)</f>
        <v>0</v>
      </c>
      <c r="H57" s="8">
        <f>SUM(H55:H56)</f>
        <v>0</v>
      </c>
      <c r="I57" s="8">
        <f>SUM(I55:I56)</f>
        <v>0</v>
      </c>
      <c r="J57" s="8">
        <f>SUM(J55:J56)</f>
        <v>0</v>
      </c>
      <c r="L57">
        <f>SUM(C57:F57)</f>
        <v>0</v>
      </c>
      <c r="M57">
        <f>SUM(G57:J57)</f>
        <v>0</v>
      </c>
      <c r="O57" s="56"/>
      <c r="P57" s="8" t="s">
        <v>17</v>
      </c>
      <c r="Q57" s="8">
        <f>SUM(Q55:Q56)</f>
        <v>0</v>
      </c>
      <c r="R57" s="8">
        <f>SUM(R55:R56)</f>
        <v>0</v>
      </c>
      <c r="S57" s="8">
        <f>SUM(S55:S56)</f>
        <v>0</v>
      </c>
      <c r="T57" s="8">
        <f>SUM(T55:T56)</f>
        <v>0</v>
      </c>
      <c r="U57" s="8">
        <f>SUM(U55:U56)</f>
        <v>0</v>
      </c>
      <c r="V57" s="8">
        <f>SUM(V55:V56)</f>
        <v>0</v>
      </c>
      <c r="W57" s="8">
        <f>SUM(W55:W56)</f>
        <v>0</v>
      </c>
      <c r="X57" s="8">
        <f>SUM(X55:X56)</f>
        <v>0</v>
      </c>
      <c r="Z57">
        <f>SUM(Q57:T57)</f>
        <v>0</v>
      </c>
      <c r="AA57">
        <f>SUM(U57:X57)</f>
        <v>0</v>
      </c>
    </row>
    <row r="58" spans="1:27">
      <c r="A58" s="52" t="s">
        <v>38</v>
      </c>
      <c r="B58" s="10" t="s">
        <v>15</v>
      </c>
      <c r="C58" s="10">
        <f>SUM(C34,C55)</f>
        <v>0</v>
      </c>
      <c r="D58" s="10">
        <f>SUM(D34,D55)</f>
        <v>0</v>
      </c>
      <c r="E58" s="10">
        <f>SUM(E34,E55)</f>
        <v>0</v>
      </c>
      <c r="F58" s="10">
        <f>SUM(F34,F55)</f>
        <v>0</v>
      </c>
      <c r="G58" s="10">
        <f>SUM(G34,G55)</f>
        <v>0</v>
      </c>
      <c r="H58" s="10">
        <f>SUM(H34,H55)</f>
        <v>0</v>
      </c>
      <c r="I58" s="10">
        <f>SUM(I34,I55)</f>
        <v>0</v>
      </c>
      <c r="J58" s="10">
        <f>SUM(J34,J55)</f>
        <v>0</v>
      </c>
      <c r="L58">
        <f>SUM(C58:F58)</f>
        <v>0</v>
      </c>
      <c r="M58">
        <f>SUM(G58:J58)</f>
        <v>0</v>
      </c>
      <c r="O58" s="52" t="s">
        <v>38</v>
      </c>
      <c r="P58" s="10" t="s">
        <v>15</v>
      </c>
      <c r="Q58" s="10">
        <f>SUM(Q34,Q55)</f>
        <v>0</v>
      </c>
      <c r="R58" s="10">
        <f>SUM(R34,R55)</f>
        <v>0</v>
      </c>
      <c r="S58" s="10">
        <f>SUM(S34,S55)</f>
        <v>0</v>
      </c>
      <c r="T58" s="10">
        <f>SUM(T34,T55)</f>
        <v>0</v>
      </c>
      <c r="U58" s="10">
        <f>SUM(U34,U55)</f>
        <v>0</v>
      </c>
      <c r="V58" s="10">
        <f>SUM(V34,V55)</f>
        <v>0</v>
      </c>
      <c r="W58" s="10">
        <f>SUM(W34,W55)</f>
        <v>0</v>
      </c>
      <c r="X58" s="10">
        <f>SUM(X34,X55)</f>
        <v>0</v>
      </c>
      <c r="Z58">
        <f>SUM(Q58:T58)</f>
        <v>0</v>
      </c>
      <c r="AA58">
        <f>SUM(U58:X58)</f>
        <v>0</v>
      </c>
    </row>
    <row r="59" spans="1:27">
      <c r="A59" s="53"/>
      <c r="B59" s="10" t="s">
        <v>16</v>
      </c>
      <c r="C59" s="10">
        <f>SUM(C35,C56)</f>
        <v>0</v>
      </c>
      <c r="D59" s="10">
        <f>SUM(D35,D56)</f>
        <v>0</v>
      </c>
      <c r="E59" s="10">
        <f>SUM(E35,E56)</f>
        <v>0</v>
      </c>
      <c r="F59" s="10">
        <f>SUM(F35,F56)</f>
        <v>0</v>
      </c>
      <c r="G59" s="10">
        <f>SUM(G35,G56)</f>
        <v>0</v>
      </c>
      <c r="H59" s="10">
        <f>SUM(H35,H56)</f>
        <v>0</v>
      </c>
      <c r="I59" s="10">
        <f>SUM(I35,I56)</f>
        <v>0</v>
      </c>
      <c r="J59" s="10">
        <f>SUM(J35,J56)</f>
        <v>0</v>
      </c>
      <c r="L59">
        <f>SUM(C59:F59)</f>
        <v>0</v>
      </c>
      <c r="M59">
        <f>SUM(G59:J59)</f>
        <v>0</v>
      </c>
      <c r="O59" s="55"/>
      <c r="P59" s="10" t="s">
        <v>16</v>
      </c>
      <c r="Q59" s="10">
        <f>SUM(Q35,Q56)</f>
        <v>0</v>
      </c>
      <c r="R59" s="10">
        <f>SUM(R35,R56)</f>
        <v>0</v>
      </c>
      <c r="S59" s="10">
        <f>SUM(S35,S56)</f>
        <v>0</v>
      </c>
      <c r="T59" s="10">
        <f>SUM(T35,T56)</f>
        <v>0</v>
      </c>
      <c r="U59" s="10">
        <f>SUM(U35,U56)</f>
        <v>0</v>
      </c>
      <c r="V59" s="10">
        <f>SUM(V35,V56)</f>
        <v>0</v>
      </c>
      <c r="W59" s="10">
        <f>SUM(W35,W56)</f>
        <v>0</v>
      </c>
      <c r="X59" s="10">
        <f>SUM(X35,X56)</f>
        <v>0</v>
      </c>
      <c r="Z59">
        <f>SUM(Q59:T59)</f>
        <v>0</v>
      </c>
      <c r="AA59">
        <f>SUM(U59:X59)</f>
        <v>0</v>
      </c>
    </row>
    <row r="60" spans="1:27">
      <c r="A60" s="54"/>
      <c r="B60" s="8" t="s">
        <v>17</v>
      </c>
      <c r="C60" s="11">
        <f>SUM(C58:C59)</f>
        <v>0</v>
      </c>
      <c r="D60" s="11">
        <f>SUM(D58:D59)</f>
        <v>0</v>
      </c>
      <c r="E60" s="11">
        <f>SUM(E58:E59)</f>
        <v>0</v>
      </c>
      <c r="F60" s="11">
        <f>SUM(F58:F59)</f>
        <v>0</v>
      </c>
      <c r="G60" s="11">
        <f>SUM(G58:G59)</f>
        <v>0</v>
      </c>
      <c r="H60" s="11">
        <f>SUM(H58:H59)</f>
        <v>0</v>
      </c>
      <c r="I60" s="11">
        <f>SUM(I58:I59)</f>
        <v>0</v>
      </c>
      <c r="J60" s="11">
        <f>SUM(J58:J59)</f>
        <v>0</v>
      </c>
      <c r="L60">
        <f>SUM(C60:F60)</f>
        <v>0</v>
      </c>
      <c r="M60">
        <f>SUM(G60:J60)</f>
        <v>0</v>
      </c>
      <c r="O60" s="56"/>
      <c r="P60" s="8" t="s">
        <v>17</v>
      </c>
      <c r="Q60" s="11">
        <f>SUM(Q58:Q59)</f>
        <v>0</v>
      </c>
      <c r="R60" s="11">
        <f>SUM(R58:R59)</f>
        <v>0</v>
      </c>
      <c r="S60" s="11">
        <f>SUM(S58:S59)</f>
        <v>0</v>
      </c>
      <c r="T60" s="11">
        <f>SUM(T58:T59)</f>
        <v>0</v>
      </c>
      <c r="U60" s="11">
        <f>SUM(U58:U59)</f>
        <v>0</v>
      </c>
      <c r="V60" s="11">
        <f>SUM(V58:V59)</f>
        <v>0</v>
      </c>
      <c r="W60" s="11">
        <f>SUM(W58:W59)</f>
        <v>0</v>
      </c>
      <c r="X60" s="11">
        <f>SUM(X58:X59)</f>
        <v>0</v>
      </c>
      <c r="Z60">
        <f>SUM(Q60:T60)</f>
        <v>0</v>
      </c>
      <c r="AA60">
        <f>SUM(U60:X60)</f>
        <v>0</v>
      </c>
    </row>
    <row r="63" spans="1:27" customHeight="1" ht="1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ustomHeight="1" ht="148.5" hidden="true">
      <c r="A71" s="67" t="s">
        <v>39</v>
      </c>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row>
  </sheetData>
  <mergeCells>
    <mergeCell ref="A71:AA71"/>
    <mergeCell ref="A1:J7"/>
    <mergeCell ref="O1:X7"/>
    <mergeCell ref="B8:J8"/>
    <mergeCell ref="P8:X8"/>
    <mergeCell ref="A10:A12"/>
    <mergeCell ref="O10:O12"/>
    <mergeCell ref="A13:A15"/>
    <mergeCell ref="O13:O15"/>
    <mergeCell ref="A16:A18"/>
    <mergeCell ref="O16:O18"/>
    <mergeCell ref="A19:A21"/>
    <mergeCell ref="O19:O21"/>
    <mergeCell ref="A22:A24"/>
    <mergeCell ref="O22:O24"/>
    <mergeCell ref="A25:A27"/>
    <mergeCell ref="O25:O27"/>
    <mergeCell ref="A28:A30"/>
    <mergeCell ref="O28:O30"/>
    <mergeCell ref="A46:A48"/>
    <mergeCell ref="O46:O48"/>
    <mergeCell ref="A31:A33"/>
    <mergeCell ref="O31:O33"/>
    <mergeCell ref="A34:A36"/>
    <mergeCell ref="O34:O36"/>
    <mergeCell ref="A37:A39"/>
    <mergeCell ref="B37:J38"/>
    <mergeCell ref="O37:O39"/>
    <mergeCell ref="P37:X38"/>
    <mergeCell ref="A40:A42"/>
    <mergeCell ref="O40:O42"/>
    <mergeCell ref="A43:A45"/>
    <mergeCell ref="O43:O45"/>
    <mergeCell ref="A58:A60"/>
    <mergeCell ref="O58:O60"/>
    <mergeCell ref="A49:A51"/>
    <mergeCell ref="O49:O51"/>
    <mergeCell ref="A52:A54"/>
    <mergeCell ref="O52:O54"/>
    <mergeCell ref="A55:A57"/>
    <mergeCell ref="O55:O57"/>
  </mergeCells>
  <printOptions gridLines="false" gridLinesSet="true"/>
  <pageMargins left="0.7" right="0.7" top="0.75" bottom="0.75" header="0.3" footer="0.3"/>
  <pageSetup paperSize="1" orientation="portrait" scale="68" fitToHeight="1" fitToWidth="1" pageOrder="downThenOver" r:id="rId1ps"/>
  <headerFooter differentOddEven="false" differentFirst="false" scaleWithDoc="true" alignWithMargins="true">
    <oddHeader/>
    <oddFooter/>
    <evenHeader/>
    <evenFooter/>
    <firstHeader/>
    <firstFooter/>
  </headerFooter>
  <colBreaks count="1" manualBreakCount="1">
    <brk id="-1" man="1"/>
  </colBreaks>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47"/>
  <sheetViews>
    <sheetView tabSelected="0" workbookViewId="0" zoomScale="85" zoomScaleNormal="85" showGridLines="true" showRowColHeaders="1">
      <selection activeCell="V40" sqref="V40"/>
    </sheetView>
  </sheetViews>
  <sheetFormatPr defaultRowHeight="14.4" outlineLevelRow="0" outlineLevelCol="0"/>
  <cols>
    <col min="1" max="1" width="21.1796875" customWidth="true" style="0"/>
    <col min="2" max="2" width="14" customWidth="true" style="0"/>
    <col min="3" max="3" width="14.26953125" customWidth="true" style="0"/>
    <col min="4" max="4" width="14.26953125" customWidth="true" style="0"/>
    <col min="5" max="5" width="14.26953125" customWidth="true" style="0"/>
    <col min="6" max="6" width="14.26953125" customWidth="true" style="0"/>
    <col min="7" max="7" width="14.26953125" customWidth="true" style="0"/>
    <col min="8" max="8" width="14.26953125" customWidth="true" style="0"/>
    <col min="9" max="9" width="14.26953125" customWidth="true" style="0"/>
    <col min="10" max="10" width="14.26953125" customWidth="true" style="0"/>
    <col min="11" max="11" width="14.26953125" customWidth="true" style="0"/>
    <col min="12" max="12" width="14.26953125" customWidth="true" style="0"/>
    <col min="13" max="13" width="14.26953125" customWidth="true" style="0"/>
    <col min="14" max="14" width="14.26953125" customWidth="true" style="0"/>
    <col min="15" max="15" width="14.26953125" customWidth="true" style="0"/>
    <col min="16" max="16" width="14.26953125" customWidth="true" style="0"/>
    <col min="17" max="17" width="18" customWidth="true" style="0"/>
    <col min="18" max="18" width="18" customWidth="true" style="0"/>
    <col min="19" max="19" width="16.6328125" customWidth="true" style="0"/>
    <col min="21" max="21" width="10.54296875" customWidth="true" style="0"/>
    <col min="22" max="22" width="10.54296875" customWidth="true" style="0"/>
  </cols>
  <sheetData>
    <row r="1" spans="1:22">
      <c r="A1" s="27" t="s">
        <v>40</v>
      </c>
    </row>
    <row r="2" spans="1:22">
      <c r="A2" s="73" t="s">
        <v>41</v>
      </c>
      <c r="B2" s="81"/>
      <c r="C2" s="81"/>
      <c r="D2" s="81"/>
      <c r="E2" s="81"/>
      <c r="F2" s="81"/>
      <c r="G2" s="81"/>
      <c r="H2" s="81"/>
      <c r="I2" s="81"/>
      <c r="J2" s="81"/>
      <c r="K2" s="81"/>
      <c r="L2" s="81"/>
      <c r="M2" s="81"/>
      <c r="N2" s="81"/>
      <c r="O2" s="81"/>
      <c r="P2" s="81"/>
      <c r="Q2" s="81"/>
      <c r="R2" s="81"/>
      <c r="S2" s="81"/>
      <c r="T2" s="81"/>
    </row>
    <row r="3" spans="1:22">
      <c r="A3" s="73" t="s">
        <v>42</v>
      </c>
      <c r="B3" s="81"/>
      <c r="C3" s="81"/>
      <c r="D3" s="81"/>
      <c r="E3" s="81"/>
      <c r="F3" s="81"/>
      <c r="G3" s="81"/>
      <c r="H3" s="81"/>
      <c r="I3" s="81"/>
      <c r="J3" s="81"/>
      <c r="K3" s="81"/>
      <c r="L3" s="81"/>
      <c r="M3" s="81"/>
      <c r="N3" s="81"/>
      <c r="O3" s="81"/>
      <c r="P3" s="81"/>
      <c r="Q3" s="81"/>
      <c r="R3" s="81"/>
      <c r="S3" s="81"/>
      <c r="T3" s="81"/>
    </row>
    <row r="5" spans="1:22">
      <c r="A5" s="96" t="s">
        <v>43</v>
      </c>
      <c r="B5" s="81"/>
      <c r="C5" s="81"/>
      <c r="D5" s="81"/>
      <c r="E5" s="81"/>
      <c r="F5" s="81"/>
      <c r="G5" s="81"/>
      <c r="H5" s="81"/>
      <c r="I5" s="81"/>
      <c r="J5" s="81"/>
      <c r="K5" s="81"/>
      <c r="L5" s="81"/>
      <c r="M5" s="81"/>
      <c r="N5" s="81"/>
      <c r="O5" s="81"/>
      <c r="P5" s="81"/>
      <c r="Q5" s="81"/>
      <c r="R5" s="81"/>
      <c r="S5" s="81"/>
      <c r="T5" s="81"/>
    </row>
    <row r="6" spans="1:22">
      <c r="A6" s="68" t="s">
        <v>44</v>
      </c>
      <c r="B6" s="68"/>
      <c r="C6" s="68"/>
      <c r="D6" s="68"/>
      <c r="E6" s="68"/>
      <c r="F6" s="68"/>
      <c r="G6" s="68"/>
      <c r="H6" s="28"/>
      <c r="I6" s="28"/>
      <c r="J6" s="28"/>
      <c r="K6" s="28"/>
      <c r="L6" s="28"/>
      <c r="M6" s="28"/>
      <c r="N6" s="28"/>
      <c r="O6" s="28"/>
      <c r="P6" s="28"/>
      <c r="Q6" s="28"/>
      <c r="R6" s="28"/>
      <c r="S6" s="28"/>
      <c r="T6" s="28"/>
    </row>
    <row r="7" spans="1:22">
      <c r="A7" s="68" t="s">
        <v>45</v>
      </c>
      <c r="B7" s="68"/>
      <c r="C7" s="68"/>
      <c r="D7" s="68"/>
      <c r="E7" s="68"/>
      <c r="F7" s="68"/>
      <c r="G7" s="68"/>
      <c r="H7" s="28"/>
      <c r="I7" s="28"/>
      <c r="J7" s="28"/>
      <c r="K7" s="28"/>
      <c r="L7" s="28"/>
      <c r="M7" s="28"/>
      <c r="N7" s="28"/>
      <c r="O7" s="28"/>
      <c r="P7" s="28"/>
      <c r="Q7" s="28"/>
      <c r="R7" s="28"/>
      <c r="S7" s="28"/>
      <c r="T7" s="28"/>
    </row>
    <row r="8" spans="1:22">
      <c r="A8" s="68" t="s">
        <v>46</v>
      </c>
      <c r="B8" s="68"/>
      <c r="C8" s="68"/>
      <c r="D8" s="68"/>
      <c r="E8" s="68"/>
      <c r="F8" s="68"/>
      <c r="G8" s="68"/>
    </row>
    <row r="9" spans="1:22">
      <c r="A9" s="68" t="s">
        <v>47</v>
      </c>
      <c r="B9" s="68"/>
      <c r="C9" s="68"/>
      <c r="D9" s="68"/>
      <c r="E9" s="68"/>
      <c r="F9" s="68"/>
      <c r="G9" s="68"/>
      <c r="H9" s="31"/>
    </row>
    <row r="10" spans="1:22">
      <c r="A10" s="68" t="s">
        <v>48</v>
      </c>
      <c r="B10" s="68"/>
      <c r="C10" s="68"/>
      <c r="D10" s="68"/>
      <c r="E10" s="68"/>
      <c r="F10" s="68"/>
      <c r="G10" s="68"/>
    </row>
    <row r="11" spans="1:22">
      <c r="A11" s="89" t="s">
        <v>49</v>
      </c>
      <c r="B11" s="89"/>
      <c r="C11" s="89"/>
      <c r="D11" s="89"/>
      <c r="E11" s="89"/>
      <c r="F11" s="89"/>
      <c r="G11" s="89"/>
    </row>
    <row r="12" spans="1:22" customHeight="1" ht="60">
      <c r="A12" s="30" t="s">
        <v>50</v>
      </c>
      <c r="B12" s="30" t="s">
        <v>5</v>
      </c>
      <c r="C12" s="30" t="s">
        <v>51</v>
      </c>
      <c r="D12" s="102"/>
      <c r="E12" s="102"/>
      <c r="F12" s="102"/>
      <c r="G12" s="102"/>
      <c r="H12" s="102"/>
      <c r="I12" s="102"/>
      <c r="J12" s="102"/>
      <c r="K12" s="101" t="s">
        <v>52</v>
      </c>
      <c r="L12" s="101"/>
      <c r="M12" s="101"/>
      <c r="N12" s="101"/>
      <c r="O12" s="101"/>
      <c r="P12" s="101"/>
      <c r="Q12" s="30"/>
      <c r="R12" s="30"/>
      <c r="S12" s="30"/>
      <c r="T12" s="15"/>
      <c r="U12" s="97" t="s">
        <v>53</v>
      </c>
      <c r="V12" s="98"/>
    </row>
    <row r="13" spans="1:22" customHeight="1" ht="96">
      <c r="A13" s="29"/>
      <c r="B13" s="29"/>
      <c r="C13" s="29" t="s">
        <v>54</v>
      </c>
      <c r="D13" s="29" t="s">
        <v>7</v>
      </c>
      <c r="E13" s="29" t="s">
        <v>8</v>
      </c>
      <c r="F13" s="29" t="s">
        <v>55</v>
      </c>
      <c r="G13" s="29" t="s">
        <v>56</v>
      </c>
      <c r="H13" s="29" t="s">
        <v>11</v>
      </c>
      <c r="I13" s="29" t="s">
        <v>8</v>
      </c>
      <c r="J13" s="29" t="s">
        <v>13</v>
      </c>
      <c r="K13" s="29" t="s">
        <v>57</v>
      </c>
      <c r="L13" s="29" t="s">
        <v>58</v>
      </c>
      <c r="M13" s="29" t="s">
        <v>59</v>
      </c>
      <c r="N13" s="29" t="s">
        <v>60</v>
      </c>
      <c r="O13" s="29" t="s">
        <v>61</v>
      </c>
      <c r="P13" s="29" t="s">
        <v>62</v>
      </c>
      <c r="Q13" s="29" t="s">
        <v>63</v>
      </c>
      <c r="R13" s="29" t="s">
        <v>63</v>
      </c>
      <c r="S13" s="29" t="s">
        <v>64</v>
      </c>
      <c r="U13" s="17" t="s">
        <v>65</v>
      </c>
      <c r="V13" s="18" t="s">
        <v>66</v>
      </c>
    </row>
    <row r="14" spans="1:22" customHeight="1" ht="19.5">
      <c r="A14" s="91" t="s">
        <v>67</v>
      </c>
      <c r="B14" s="16" t="s">
        <v>15</v>
      </c>
      <c r="C14" s="19">
        <f>_xlfn.COUNTIFS(#REF!, "m",#REF!, "*severely wasted*",#REF!, "*k*")</f>
        <v>0</v>
      </c>
      <c r="D14" s="1">
        <f>_xlfn.COUNTIFS(#REF!, "m",#REF!, "wasted",#REF!, "*k*")</f>
        <v>0</v>
      </c>
      <c r="E14" s="1">
        <f>_xlfn.COUNTIFS(#REF!, "m",#REF!, "*normal*",#REF!, "*k*")</f>
        <v>0</v>
      </c>
      <c r="F14" s="1">
        <f>_xlfn.COUNTIFS(#REF!, "m",#REF!, "overweight",#REF!, "*k*")
+_xlfn.COUNTIFS(#REF!, "m",#REF!, "obese",#REF!, "*k*")</f>
        <v>0</v>
      </c>
      <c r="G14" s="19">
        <f>_xlfn.COUNTIFS(#REF!, "m",#REF!, "*severely stunted*",#REF!, "*k*")</f>
        <v>0</v>
      </c>
      <c r="H14" s="19">
        <f>_xlfn.COUNTIFS(#REF!, "m",#REF!, "stunted",#REF!, "*k*")</f>
        <v>0</v>
      </c>
      <c r="I14" s="19">
        <f>_xlfn.COUNTIFS(#REF!, "m",#REF!, "*normal*",#REF!, "*k*")</f>
        <v>0</v>
      </c>
      <c r="J14" s="19">
        <f>_xlfn.COUNTIFS(#REF!, "m",#REF!, "tall",#REF!, "*k*")</f>
        <v>0</v>
      </c>
      <c r="K14" s="16">
        <v>0</v>
      </c>
      <c r="L14" s="19">
        <v>0</v>
      </c>
      <c r="M14" s="16">
        <v>0</v>
      </c>
      <c r="N14" s="16">
        <v>0</v>
      </c>
      <c r="O14" s="19">
        <v>0</v>
      </c>
      <c r="P14" s="16">
        <v>0</v>
      </c>
      <c r="Q14" s="16">
        <v>0</v>
      </c>
      <c r="R14" s="16">
        <v>0</v>
      </c>
      <c r="S14" s="20"/>
      <c r="U14" s="32">
        <f>SUM(C14,D14,E14,F14)</f>
        <v>0</v>
      </c>
      <c r="V14" s="21">
        <f>SUM(G14,H14,I14,J14)</f>
        <v>0</v>
      </c>
    </row>
    <row r="15" spans="1:22" customHeight="1" ht="19.5">
      <c r="A15" s="92"/>
      <c r="B15" s="16" t="s">
        <v>16</v>
      </c>
      <c r="C15" s="19">
        <f>_xlfn.COUNTIFS(#REF!, "f",#REF!, "*severely wasted*",#REF!, "*k*")</f>
        <v>0</v>
      </c>
      <c r="D15" s="1">
        <f>_xlfn.COUNTIFS(#REF!, "f",#REF!, "wasted",#REF!, "*k*")</f>
        <v>0</v>
      </c>
      <c r="E15" s="1">
        <f>_xlfn.COUNTIFS(#REF!, "f",#REF!, "*normal*",#REF!, "*k*")</f>
        <v>0</v>
      </c>
      <c r="F15" s="1">
        <f>_xlfn.COUNTIFS(#REF!, "f",#REF!, "overweight",#REF!, "*k*")
+_xlfn.COUNTIFS(#REF!, "f",#REF!, "obese",#REF!, "*k*")</f>
        <v>0</v>
      </c>
      <c r="G15" s="16">
        <f>_xlfn.COUNTIFS(#REF!, "f",#REF!, "*severely stunted*",#REF!, "*k*")</f>
        <v>0</v>
      </c>
      <c r="H15" s="19">
        <f>_xlfn.COUNTIFS(#REF!, "f",#REF!, "stunted",#REF!, "*k*")</f>
        <v>0</v>
      </c>
      <c r="I15" s="19">
        <f>_xlfn.COUNTIFS(#REF!, "f",#REF!, "*normal*",#REF!, "*k*")</f>
        <v>0</v>
      </c>
      <c r="J15" s="19">
        <f>_xlfn.COUNTIFS(#REF!, "f",#REF!, "tall",#REF!, "*k*")</f>
        <v>0</v>
      </c>
      <c r="K15" s="16">
        <v>0</v>
      </c>
      <c r="L15" s="19">
        <v>0</v>
      </c>
      <c r="M15" s="16">
        <v>0</v>
      </c>
      <c r="N15" s="16">
        <v>0</v>
      </c>
      <c r="O15" s="19">
        <v>0</v>
      </c>
      <c r="P15" s="16">
        <v>0</v>
      </c>
      <c r="Q15" s="16">
        <v>0</v>
      </c>
      <c r="R15" s="16">
        <v>0</v>
      </c>
      <c r="S15" s="20"/>
      <c r="U15" s="32">
        <f>SUM(C15,D15,E15,F15)</f>
        <v>0</v>
      </c>
      <c r="V15" s="21">
        <f>SUM(G15,H15,I15,J15)</f>
        <v>0</v>
      </c>
    </row>
    <row r="16" spans="1:22" customHeight="1" ht="19.5">
      <c r="A16" s="93"/>
      <c r="B16" s="16" t="s">
        <v>25</v>
      </c>
      <c r="C16" s="22">
        <f>SUM(C14,C15)</f>
        <v>0</v>
      </c>
      <c r="D16" s="22">
        <f>SUM(D14,D15)</f>
        <v>0</v>
      </c>
      <c r="E16" s="22">
        <f>SUM(E14,E15)</f>
        <v>0</v>
      </c>
      <c r="F16" s="22">
        <f>SUM(F14,F15)</f>
        <v>0</v>
      </c>
      <c r="G16" s="22">
        <f>SUM(G14,G15)</f>
        <v>0</v>
      </c>
      <c r="H16" s="22">
        <f>SUM(H14,H15)</f>
        <v>0</v>
      </c>
      <c r="I16" s="22">
        <f>SUM(I14,I15)</f>
        <v>0</v>
      </c>
      <c r="J16" s="22">
        <f>SUM(J14,J15)</f>
        <v>0</v>
      </c>
      <c r="K16" s="22">
        <f>SUM(K14,K15)</f>
        <v>0</v>
      </c>
      <c r="L16" s="22">
        <f>SUM(L14,L15)</f>
        <v>0</v>
      </c>
      <c r="M16" s="22">
        <f>SUM(M14,M15)</f>
        <v>0</v>
      </c>
      <c r="N16" s="22">
        <f>SUM(N14,N15)</f>
        <v>0</v>
      </c>
      <c r="O16" s="22">
        <f>SUM(O14,O15)</f>
        <v>0</v>
      </c>
      <c r="P16" s="22">
        <f>SUM(P14,P15)</f>
        <v>0</v>
      </c>
      <c r="Q16" s="22">
        <f>SUM(Q14,Q15)</f>
        <v>0</v>
      </c>
      <c r="R16" s="22">
        <f>SUM(R14,R15)</f>
        <v>0</v>
      </c>
      <c r="S16" s="20"/>
      <c r="U16" s="32">
        <f>SUM(C16,D16,E16,F16)</f>
        <v>0</v>
      </c>
      <c r="V16" s="21">
        <f>SUM(G16,H16,I16,J16)</f>
        <v>0</v>
      </c>
    </row>
    <row r="17" spans="1:22" customHeight="1" ht="19.5">
      <c r="A17" s="91" t="s">
        <v>68</v>
      </c>
      <c r="B17" s="16" t="s">
        <v>15</v>
      </c>
      <c r="C17" s="19">
        <f>_xlfn.COUNTIFS(#REF!, "m",#REF!, "*severely wasted*",#REF!, "*1*")</f>
        <v>0</v>
      </c>
      <c r="D17" s="19">
        <f>_xlfn.COUNTIFS(#REF!, "m",#REF!, "wasted",#REF!, "*1*")</f>
        <v>0</v>
      </c>
      <c r="E17" s="19">
        <f>_xlfn.COUNTIFS(#REF!, "m",#REF!, "*normal*",#REF!, "*1*")</f>
        <v>0</v>
      </c>
      <c r="F17" s="19">
        <f>_xlfn.COUNTIFS(#REF!, "m",#REF!, "overweight",#REF!, "*1*")</f>
        <v>0</v>
      </c>
      <c r="G17" s="19">
        <f>_xlfn.COUNTIFS(#REF!, "m",#REF!, "severely stunted",#REF!, "*1*")</f>
        <v>0</v>
      </c>
      <c r="H17" s="19">
        <f>_xlfn.COUNTIFS(#REF!, "m",#REF!, "stunted",#REF!, "*1*")</f>
        <v>0</v>
      </c>
      <c r="I17" s="19">
        <f>_xlfn.COUNTIFS(#REF!, "m",#REF!, "*normal*",#REF!, "*1*")</f>
        <v>0</v>
      </c>
      <c r="J17" s="16">
        <f>_xlfn.COUNTIFS(#REF!, "m",#REF!, "tall",#REF!, "*1*")</f>
        <v>0</v>
      </c>
      <c r="K17" s="16">
        <v>0</v>
      </c>
      <c r="L17" s="19">
        <f>_xlfn.COUNTIFS(#REF!, "m",#REF!, "severely stunted",#REF!, "*normal*",#REF!, "*1*")
+_xlfn.COUNTIFS(#REF!, "m",#REF!, "severely stunted",#REF!,  "overweigth",#REF!, "*1*")
+_xlfn.COUNTIFS(#REF!, "m",#REF!, "stunted",#REF!, "*normal*",#REF!, "*1*")
+_xlfn.COUNTIFS(#REF!, "m",#REF!, "stunted",#REF!,  "overweigth",#REF!, "*1*")</f>
        <v>0</v>
      </c>
      <c r="M17" s="16">
        <f>_xlfn.COUNTIFS(#REF!, "m",#REF!, "*1*",#REF!, "*normal*",#REF!, "*normal*",#REF!, "yes",#REF!, "no")
+_xlfn.COUNTIFS(#REF!, "m",#REF!, "*1*",#REF!, "*normal*",#REF!,  "tall",#REF!, "yes",#REF!, "no")</f>
        <v>0</v>
      </c>
      <c r="N17" s="16">
        <f>_xlfn.COUNTIFS(#REF!, "m",#REF!, "*1*",#REF!, "*normal*",#REF!, "*normal*",#REF!, "no",#REF!, "yes")
+_xlfn.COUNTIFS(#REF!, "m",#REF!, "*1*",#REF!, "*normal*",#REF!,  "tall",#REF!, "no",#REF!, "yes")</f>
        <v>0</v>
      </c>
      <c r="O17" s="19">
        <v>0</v>
      </c>
      <c r="P17" s="16">
        <v>0</v>
      </c>
      <c r="Q17" s="16">
        <v>0</v>
      </c>
      <c r="R17" s="16">
        <v>0</v>
      </c>
      <c r="S17" s="20"/>
      <c r="U17" s="32">
        <f>SUM(C17,D17,E17,F17)</f>
        <v>0</v>
      </c>
      <c r="V17" s="21">
        <f>SUM(G17,H17,I17,J17)</f>
        <v>0</v>
      </c>
    </row>
    <row r="18" spans="1:22" customHeight="1" ht="19.5">
      <c r="A18" s="92"/>
      <c r="B18" s="16" t="s">
        <v>16</v>
      </c>
      <c r="C18" s="19">
        <f>_xlfn.COUNTIFS(#REF!, "f",#REF!, "*severely wasted*",#REF!, "*1*")</f>
        <v>0</v>
      </c>
      <c r="D18" s="19">
        <f>_xlfn.COUNTIFS(#REF!, "f",#REF!, "wasted",#REF!, "*1*")</f>
        <v>0</v>
      </c>
      <c r="E18" s="19">
        <f>_xlfn.COUNTIFS(#REF!, "f",#REF!, "*normal*",#REF!, "*1*")</f>
        <v>0</v>
      </c>
      <c r="F18" s="19">
        <f>_xlfn.COUNTIFS(#REF!, "f",#REF!, "overweight",#REF!, "*1*")</f>
        <v>0</v>
      </c>
      <c r="G18" s="16">
        <f>_xlfn.COUNTIFS(#REF!, "f",#REF!, "severely stunted",#REF!, "*1*")</f>
        <v>0</v>
      </c>
      <c r="H18" s="19">
        <f>_xlfn.COUNTIFS(#REF!, "f",#REF!, "stunted",#REF!, "*1*")</f>
        <v>0</v>
      </c>
      <c r="I18" s="19">
        <f>_xlfn.COUNTIFS(#REF!, "f",#REF!, "*normal*",#REF!, "*1*")</f>
        <v>0</v>
      </c>
      <c r="J18" s="16">
        <f>_xlfn.COUNTIFS(#REF!, "f",#REF!, "tall",#REF!, "*1*")</f>
        <v>0</v>
      </c>
      <c r="K18" s="16">
        <v>0</v>
      </c>
      <c r="L18" s="19">
        <f>_xlfn.COUNTIFS(#REF!, "f",#REF!, "severely stunted",#REF!, "*normal*",#REF!, "*1*")
+_xlfn.COUNTIFS(#REF!, "f",#REF!, "severely stunted",#REF!,  "overweigth",#REF!, "*1*")
+_xlfn.COUNTIFS(#REF!, "f",#REF!, "stunted",#REF!, "*normal*",#REF!, "*1*")
+_xlfn.COUNTIFS(#REF!, "f",#REF!, "stunted",#REF!,  "overweigth",#REF!, "*1*")</f>
        <v>0</v>
      </c>
      <c r="M18" s="16">
        <f>_xlfn.COUNTIFS(#REF!, "f",#REF!, "*1*",#REF!, "*normal*",#REF!, "*normal*",#REF!, "yes",#REF!, "no")
+_xlfn.COUNTIFS(#REF!, "f",#REF!, "*1*",#REF!, "*normal*",#REF!,  "tall",#REF!, "yes",#REF!, "no")</f>
        <v>0</v>
      </c>
      <c r="N18" s="16">
        <f>_xlfn.COUNTIFS(#REF!, "f",#REF!, "*1*",#REF!, "*normal*",#REF!, "*normal*",#REF!, "no",#REF!, "yes")
+_xlfn.COUNTIFS(#REF!, "f",#REF!, "*1*",#REF!, "*normal*",#REF!,  "tall",#REF!, "no",#REF!, "yes")</f>
        <v>0</v>
      </c>
      <c r="O18" s="19">
        <v>0</v>
      </c>
      <c r="P18" s="16">
        <v>0</v>
      </c>
      <c r="Q18" s="16">
        <v>0</v>
      </c>
      <c r="R18" s="16">
        <v>0</v>
      </c>
      <c r="S18" s="20"/>
      <c r="U18" s="32">
        <f>SUM(C18,D18,E18,F18)</f>
        <v>0</v>
      </c>
      <c r="V18" s="21">
        <f>SUM(G18,H18,I18,J18)</f>
        <v>0</v>
      </c>
    </row>
    <row r="19" spans="1:22" customHeight="1" ht="19.5">
      <c r="A19" s="93"/>
      <c r="B19" s="16" t="s">
        <v>25</v>
      </c>
      <c r="C19" s="23">
        <f>SUM(C17,C18)</f>
        <v>0</v>
      </c>
      <c r="D19" s="23">
        <f>SUM(D17,D18)</f>
        <v>0</v>
      </c>
      <c r="E19" s="23">
        <f>SUM(E17,E18)</f>
        <v>0</v>
      </c>
      <c r="F19" s="23">
        <f>SUM(F17,F18)</f>
        <v>0</v>
      </c>
      <c r="G19" s="23">
        <f>SUM(G17,G18)</f>
        <v>0</v>
      </c>
      <c r="H19" s="23">
        <f>SUM(H17,H18)</f>
        <v>0</v>
      </c>
      <c r="I19" s="23">
        <f>SUM(I17,I18)</f>
        <v>0</v>
      </c>
      <c r="J19" s="23">
        <f>SUM(J17,J18)</f>
        <v>0</v>
      </c>
      <c r="K19" s="23">
        <f>SUM(K17,K18)</f>
        <v>0</v>
      </c>
      <c r="L19" s="23">
        <f>SUM(L17,L18)</f>
        <v>0</v>
      </c>
      <c r="M19" s="23">
        <f>SUM(M17,M18)</f>
        <v>0</v>
      </c>
      <c r="N19" s="23">
        <f>SUM(N17,N18)</f>
        <v>0</v>
      </c>
      <c r="O19" s="23">
        <f>SUM(O17,O18)</f>
        <v>0</v>
      </c>
      <c r="P19" s="23">
        <f>SUM(P17,P18)</f>
        <v>0</v>
      </c>
      <c r="Q19" s="23">
        <f>SUM(Q17,Q18)</f>
        <v>0</v>
      </c>
      <c r="R19" s="23">
        <f>SUM(R17,R18)</f>
        <v>0</v>
      </c>
      <c r="S19" s="20"/>
      <c r="U19" s="32">
        <f>SUM(C19,D19,E19,F19)</f>
        <v>0</v>
      </c>
      <c r="V19" s="21">
        <f>SUM(G19,H19,I19,J19)</f>
        <v>0</v>
      </c>
    </row>
    <row r="20" spans="1:22" customHeight="1" ht="19.5">
      <c r="A20" s="91" t="s">
        <v>69</v>
      </c>
      <c r="B20" s="16" t="s">
        <v>15</v>
      </c>
      <c r="C20" s="16">
        <f>_xlfn.COUNTIFS(#REF!, "m",#REF!, "*severely wasted*",#REF!, "*2*")</f>
        <v>0</v>
      </c>
      <c r="D20" s="19">
        <f>_xlfn.COUNTIFS(#REF!, "m",#REF!, "wasted",#REF!, "*2*")</f>
        <v>0</v>
      </c>
      <c r="E20" s="19">
        <f>_xlfn.COUNTIFS(#REF!, "m",#REF!, "*normal*",#REF!, "*2*")</f>
        <v>0</v>
      </c>
      <c r="F20" s="16">
        <f>_xlfn.COUNTIFS(#REF!, "m",#REF!, "overweight",#REF!, "*2*")</f>
        <v>0</v>
      </c>
      <c r="G20" s="19">
        <f>_xlfn.COUNTIFS(#REF!, "m",#REF!, "severely stunted",#REF!, "*2*")</f>
        <v>0</v>
      </c>
      <c r="H20" s="19">
        <f>_xlfn.COUNTIFS(#REF!, "m",#REF!, "stunted",#REF!, "*2*")</f>
        <v>0</v>
      </c>
      <c r="I20" s="19">
        <f>_xlfn.COUNTIFS(#REF!, "m",#REF!, "*normal*",#REF!, "*2*")</f>
        <v>0</v>
      </c>
      <c r="J20" s="16">
        <f>_xlfn.COUNTIFS(#REF!, "m",#REF!, "tall",#REF!, "*2*")</f>
        <v>0</v>
      </c>
      <c r="K20" s="16">
        <v>0</v>
      </c>
      <c r="L20" s="19">
        <f>_xlfn.COUNTIFS(#REF!, "m",#REF!, "severely stunted",#REF!, "*normal*",#REF!, "*2*")
+_xlfn.COUNTIFS(#REF!, "m",#REF!, "severely stunted",#REF!,  "overweigth",#REF!, "*2*")
+_xlfn.COUNTIFS(#REF!, "m",#REF!, "stunted",#REF!, "*normal*",#REF!, "*2*")
+_xlfn.COUNTIFS(#REF!, "m",#REF!, "stunted",#REF!,  "overweigth",#REF!, "*2*")</f>
        <v>0</v>
      </c>
      <c r="M20" s="16">
        <f>_xlfn.COUNTIFS(#REF!, "m",#REF!, "*2*",#REF!, "*normal*",#REF!, "*normal*",#REF!, "yes",#REF!, "no")
+_xlfn.COUNTIFS(#REF!, "m",#REF!, "*2*",#REF!, "*normal*",#REF!,  "tall",#REF!, "yes",#REF!, "no")</f>
        <v>0</v>
      </c>
      <c r="N20" s="16">
        <f>_xlfn.COUNTIFS(#REF!, "m",#REF!, "*2*",#REF!, "*normal*",#REF!, "*normal*",#REF!, "no",#REF!, "yes")
+_xlfn.COUNTIFS(#REF!, "m",#REF!, "*2*",#REF!, "*normal*",#REF!,  "tall",#REF!, "no",#REF!, "yes")</f>
        <v>0</v>
      </c>
      <c r="O20" s="19">
        <v>0</v>
      </c>
      <c r="P20" s="16">
        <v>0</v>
      </c>
      <c r="Q20" s="16">
        <v>0</v>
      </c>
      <c r="R20" s="16">
        <v>0</v>
      </c>
      <c r="S20" s="20"/>
      <c r="U20" s="32">
        <f>SUM(C20,D20,E20,F20)</f>
        <v>0</v>
      </c>
      <c r="V20" s="21">
        <f>SUM(G20,H20,I20,J20)</f>
        <v>0</v>
      </c>
    </row>
    <row r="21" spans="1:22" customHeight="1" ht="19.5">
      <c r="A21" s="92"/>
      <c r="B21" s="16" t="s">
        <v>16</v>
      </c>
      <c r="C21" s="16">
        <f>_xlfn.COUNTIFS(#REF!, "f",#REF!, "*severely wasted*",#REF!, "*2*")</f>
        <v>0</v>
      </c>
      <c r="D21" s="19">
        <f>_xlfn.COUNTIFS(#REF!, "f",#REF!, "wasted",#REF!, "*2*")</f>
        <v>0</v>
      </c>
      <c r="E21" s="19">
        <f>_xlfn.COUNTIFS(#REF!, "f",#REF!, "*normal*",#REF!, "*2*")</f>
        <v>0</v>
      </c>
      <c r="F21" s="16">
        <f>_xlfn.COUNTIFS(#REF!, "f",#REF!, "overweight",#REF!, "*2*")</f>
        <v>0</v>
      </c>
      <c r="G21" s="16">
        <f>_xlfn.COUNTIFS(#REF!, "f",#REF!, "severely stunted",#REF!, "*2*")</f>
        <v>0</v>
      </c>
      <c r="H21" s="19">
        <f>_xlfn.COUNTIFS(#REF!, "f",#REF!, "stunted",#REF!, "*2*")</f>
        <v>0</v>
      </c>
      <c r="I21" s="19">
        <f>_xlfn.COUNTIFS(#REF!, "f",#REF!, "*normal*",#REF!, "*2*")</f>
        <v>0</v>
      </c>
      <c r="J21" s="16">
        <f>_xlfn.COUNTIFS(#REF!, "f",#REF!, "tall",#REF!, "*2*")</f>
        <v>0</v>
      </c>
      <c r="K21" s="16">
        <v>0</v>
      </c>
      <c r="L21" s="19">
        <f>_xlfn.COUNTIFS(#REF!, "f",#REF!, "severely stunted",#REF!, "*normal*",#REF!, "*2*")
+_xlfn.COUNTIFS(#REF!, "f",#REF!, "severely stunted",#REF!,  "overweigth",#REF!, "*2*")
+_xlfn.COUNTIFS(#REF!, "f",#REF!, "stunted",#REF!, "*normal*",#REF!, "*2*")
+_xlfn.COUNTIFS(#REF!, "f",#REF!, "stunted",#REF!,  "overweigth",#REF!, "*2*")</f>
        <v>0</v>
      </c>
      <c r="M21" s="16">
        <f>_xlfn.COUNTIFS(#REF!, "f",#REF!, "*2*",#REF!, "*normal*",#REF!, "*normal*",#REF!, "yes",#REF!, "no")
+_xlfn.COUNTIFS(#REF!, "f",#REF!, "*2*",#REF!, "*normal*",#REF!,  "tall",#REF!, "yes",#REF!, "no")</f>
        <v>0</v>
      </c>
      <c r="N21" s="16">
        <f>_xlfn.COUNTIFS(#REF!, "f",#REF!, "*2*",#REF!, "*normal*",#REF!, "*normal*",#REF!, "no",#REF!, "yes")
+_xlfn.COUNTIFS(#REF!, "f",#REF!, "*2*",#REF!, "*normal*",#REF!,  "tall",#REF!, "no",#REF!, "yes")</f>
        <v>0</v>
      </c>
      <c r="O21" s="19">
        <v>0</v>
      </c>
      <c r="P21" s="16">
        <v>0</v>
      </c>
      <c r="Q21" s="16">
        <v>0</v>
      </c>
      <c r="R21" s="16">
        <v>0</v>
      </c>
      <c r="S21" s="20"/>
      <c r="U21" s="32">
        <f>SUM(C21,D21,E21,F21)</f>
        <v>0</v>
      </c>
      <c r="V21" s="21">
        <f>SUM(G21,H21,I21,J21)</f>
        <v>0</v>
      </c>
    </row>
    <row r="22" spans="1:22" customHeight="1" ht="19.5">
      <c r="A22" s="93"/>
      <c r="B22" s="16" t="s">
        <v>25</v>
      </c>
      <c r="C22" s="22">
        <f>SUM(C20,C21)</f>
        <v>0</v>
      </c>
      <c r="D22" s="22">
        <f>SUM(D20,D21)</f>
        <v>0</v>
      </c>
      <c r="E22" s="22">
        <f>SUM(E20,E21)</f>
        <v>0</v>
      </c>
      <c r="F22" s="22">
        <f>SUM(F20,F21)</f>
        <v>0</v>
      </c>
      <c r="G22" s="22">
        <f>SUM(G20,G21)</f>
        <v>0</v>
      </c>
      <c r="H22" s="22">
        <f>SUM(H20,H21)</f>
        <v>0</v>
      </c>
      <c r="I22" s="22">
        <f>SUM(I20,I21)</f>
        <v>0</v>
      </c>
      <c r="J22" s="22">
        <f>SUM(J20,J21)</f>
        <v>0</v>
      </c>
      <c r="K22" s="22">
        <f>SUM(K20,K21)</f>
        <v>0</v>
      </c>
      <c r="L22" s="22">
        <f>SUM(L20,L21)</f>
        <v>0</v>
      </c>
      <c r="M22" s="22">
        <f>SUM(M20,M21)</f>
        <v>0</v>
      </c>
      <c r="N22" s="22">
        <f>SUM(N20,N21)</f>
        <v>0</v>
      </c>
      <c r="O22" s="22">
        <f>SUM(O20,O21)</f>
        <v>0</v>
      </c>
      <c r="P22" s="22">
        <f>SUM(P20,P21)</f>
        <v>0</v>
      </c>
      <c r="Q22" s="22">
        <f>SUM(Q20,Q21)</f>
        <v>0</v>
      </c>
      <c r="R22" s="22">
        <f>SUM(R20,R21)</f>
        <v>0</v>
      </c>
      <c r="S22" s="20"/>
      <c r="U22" s="32">
        <f>SUM(C22,D22,E22,F22)</f>
        <v>0</v>
      </c>
      <c r="V22" s="21">
        <f>SUM(G22,H22,I22,J22)</f>
        <v>0</v>
      </c>
    </row>
    <row r="23" spans="1:22" customHeight="1" ht="19.5">
      <c r="A23" s="91" t="s">
        <v>70</v>
      </c>
      <c r="B23" s="16" t="s">
        <v>15</v>
      </c>
      <c r="C23" s="19">
        <f>_xlfn.COUNTIFS(#REF!, "m",#REF!, "*severely wasted*",#REF!, "*3*")</f>
        <v>0</v>
      </c>
      <c r="D23" s="19">
        <f>_xlfn.COUNTIFS(#REF!, "m",#REF!, "wasted",#REF!, "*3*")</f>
        <v>0</v>
      </c>
      <c r="E23" s="19">
        <f>_xlfn.COUNTIFS(#REF!, "m",#REF!, "*normal*",#REF!, "*3*")</f>
        <v>0</v>
      </c>
      <c r="F23" s="16">
        <f>_xlfn.COUNTIFS(#REF!, "m",#REF!, "overweight",#REF!, "*3*")</f>
        <v>0</v>
      </c>
      <c r="G23" s="19">
        <f>_xlfn.COUNTIFS(#REF!, "m",#REF!, "severely stunted",#REF!, "*3*")</f>
        <v>0</v>
      </c>
      <c r="H23" s="19">
        <f>_xlfn.COUNTIFS(#REF!, "m",#REF!, "stunted",#REF!, "*3*")</f>
        <v>0</v>
      </c>
      <c r="I23" s="19">
        <f>_xlfn.COUNTIFS(#REF!, "m",#REF!, "*normal*",#REF!, "*3*")</f>
        <v>0</v>
      </c>
      <c r="J23" s="16">
        <f>_xlfn.COUNTIFS(#REF!, "m",#REF!, "tall",#REF!, "*3*")</f>
        <v>0</v>
      </c>
      <c r="K23" s="16">
        <v>0</v>
      </c>
      <c r="L23" s="19">
        <f>_xlfn.COUNTIFS(#REF!, "m",#REF!, "severely stunted",#REF!, "*normal*",#REF!, "*3*")
+_xlfn.COUNTIFS(#REF!, "m",#REF!, "severely stunted",#REF!,  "overweigth",#REF!, "*3*")
+_xlfn.COUNTIFS(#REF!, "m",#REF!, "stunted",#REF!, "*normal*",#REF!, "*3*")
+_xlfn.COUNTIFS(#REF!, "m",#REF!, "stunted",#REF!,  "overweigth",#REF!, "*3*")</f>
        <v>0</v>
      </c>
      <c r="M23" s="16">
        <f>_xlfn.COUNTIFS(#REF!, "m",#REF!, "*3*",#REF!, "*normal*",#REF!, "*normal*",#REF!, "yes",#REF!, "no")
+_xlfn.COUNTIFS(#REF!, "m",#REF!, "*3*",#REF!, "*normal*",#REF!,  "tall",#REF!, "yes",#REF!, "no")</f>
        <v>0</v>
      </c>
      <c r="N23" s="16">
        <f>_xlfn.COUNTIFS(#REF!, "m",#REF!, "*3*",#REF!, "*normal*",#REF!, "*normal*",#REF!, "no",#REF!, "yes")
+_xlfn.COUNTIFS(#REF!, "m",#REF!, "*3*",#REF!, "*normal*",#REF!,  "tall",#REF!, "no",#REF!, "yes")</f>
        <v>0</v>
      </c>
      <c r="O23" s="19">
        <v>0</v>
      </c>
      <c r="P23" s="16">
        <v>0</v>
      </c>
      <c r="Q23" s="16">
        <v>0</v>
      </c>
      <c r="R23" s="16">
        <v>0</v>
      </c>
      <c r="S23" s="20"/>
      <c r="U23" s="32">
        <f>SUM(C23,D23,E23,F23)</f>
        <v>0</v>
      </c>
      <c r="V23" s="21">
        <f>SUM(G23,H23,I23,J23)</f>
        <v>0</v>
      </c>
    </row>
    <row r="24" spans="1:22" customHeight="1" ht="19.5">
      <c r="A24" s="92"/>
      <c r="B24" s="16" t="s">
        <v>16</v>
      </c>
      <c r="C24" s="16">
        <f>_xlfn.COUNTIFS(#REF!, "f",#REF!, "*severely wasted*",#REF!, "*3*")</f>
        <v>0</v>
      </c>
      <c r="D24" s="19">
        <f>_xlfn.COUNTIFS(#REF!, "f",#REF!, "wasted",#REF!, "*3*")</f>
        <v>0</v>
      </c>
      <c r="E24" s="19">
        <f>_xlfn.COUNTIFS(#REF!, "f",#REF!, "*normal*",#REF!, "*3*")</f>
        <v>0</v>
      </c>
      <c r="F24" s="16">
        <f>_xlfn.COUNTIFS(#REF!, "f",#REF!, "overweight",#REF!, "*3*")</f>
        <v>0</v>
      </c>
      <c r="G24" s="19">
        <f>_xlfn.COUNTIFS(#REF!, "f",#REF!, "severely stunted",#REF!, "*3*")</f>
        <v>0</v>
      </c>
      <c r="H24" s="19">
        <f>_xlfn.COUNTIFS(#REF!, "f",#REF!, "stunted",#REF!, "*3*")</f>
        <v>0</v>
      </c>
      <c r="I24" s="19">
        <f>_xlfn.COUNTIFS(#REF!, "f",#REF!, "*normal*",#REF!, "*3*")</f>
        <v>0</v>
      </c>
      <c r="J24" s="16">
        <f>_xlfn.COUNTIFS(#REF!, "f",#REF!, "tall",#REF!, "*3*")</f>
        <v>0</v>
      </c>
      <c r="K24" s="16">
        <v>0</v>
      </c>
      <c r="L24" s="19">
        <f>_xlfn.COUNTIFS(#REF!, "f",#REF!, "severely stunted",#REF!, "*normal*",#REF!, "*3*")
+_xlfn.COUNTIFS(#REF!, "f",#REF!, "severely stunted",#REF!,  "overweigth",#REF!, "*3*")
+_xlfn.COUNTIFS(#REF!, "f",#REF!, "stunted",#REF!, "*normal*",#REF!, "*3*")
+_xlfn.COUNTIFS(#REF!, "f",#REF!, "stunted",#REF!,  "overweigth",#REF!, "*3*")</f>
        <v>0</v>
      </c>
      <c r="M24" s="16">
        <f>_xlfn.COUNTIFS(#REF!, "f",#REF!, "*3*",#REF!, "*normal*",#REF!, "*normal*",#REF!, "yes",#REF!, "no")
+_xlfn.COUNTIFS(#REF!, "f",#REF!, "*3*",#REF!, "*normal*",#REF!,  "tall",#REF!, "yes",#REF!, "no")</f>
        <v>0</v>
      </c>
      <c r="N24" s="16">
        <f>_xlfn.COUNTIFS(#REF!, "f",#REF!, "*3*",#REF!, "*normal*",#REF!, "*normal*",#REF!, "no",#REF!, "yes")
+_xlfn.COUNTIFS(#REF!, "f",#REF!, "*3*",#REF!, "*normal*",#REF!,  "tall",#REF!, "no",#REF!, "yes")</f>
        <v>0</v>
      </c>
      <c r="O24" s="19">
        <v>0</v>
      </c>
      <c r="P24" s="16">
        <v>0</v>
      </c>
      <c r="Q24" s="16">
        <v>0</v>
      </c>
      <c r="R24" s="16">
        <v>0</v>
      </c>
      <c r="S24" s="20"/>
      <c r="U24" s="32">
        <f>SUM(C24,D24,E24,F24)</f>
        <v>0</v>
      </c>
      <c r="V24" s="21">
        <f>SUM(G24,H24,I24,J24)</f>
        <v>0</v>
      </c>
    </row>
    <row r="25" spans="1:22" customHeight="1" ht="19.5">
      <c r="A25" s="93"/>
      <c r="B25" s="16" t="s">
        <v>25</v>
      </c>
      <c r="C25" s="22">
        <f>SUM(C23,C24)</f>
        <v>0</v>
      </c>
      <c r="D25" s="22">
        <f>SUM(D23,D24)</f>
        <v>0</v>
      </c>
      <c r="E25" s="22">
        <f>SUM(E23,E24)</f>
        <v>0</v>
      </c>
      <c r="F25" s="22">
        <f>SUM(F23,F24)</f>
        <v>0</v>
      </c>
      <c r="G25" s="22">
        <f>SUM(G23,G24)</f>
        <v>0</v>
      </c>
      <c r="H25" s="22">
        <f>SUM(H23,H24)</f>
        <v>0</v>
      </c>
      <c r="I25" s="22">
        <f>SUM(I23,I24)</f>
        <v>0</v>
      </c>
      <c r="J25" s="22">
        <f>SUM(J23,J24)</f>
        <v>0</v>
      </c>
      <c r="K25" s="22">
        <f>SUM(K23,K24)</f>
        <v>0</v>
      </c>
      <c r="L25" s="22">
        <f>SUM(L23,L24)</f>
        <v>0</v>
      </c>
      <c r="M25" s="22">
        <f>SUM(M23,M24)</f>
        <v>0</v>
      </c>
      <c r="N25" s="22">
        <f>SUM(N23,N24)</f>
        <v>0</v>
      </c>
      <c r="O25" s="22">
        <f>SUM(O23,O24)</f>
        <v>0</v>
      </c>
      <c r="P25" s="22">
        <f>SUM(P23,P24)</f>
        <v>0</v>
      </c>
      <c r="Q25" s="22">
        <f>SUM(Q23,Q24)</f>
        <v>0</v>
      </c>
      <c r="R25" s="22">
        <f>SUM(R23,R24)</f>
        <v>0</v>
      </c>
      <c r="S25" s="20"/>
      <c r="U25" s="32">
        <f>SUM(C25,D25,E25,F25)</f>
        <v>0</v>
      </c>
      <c r="V25" s="21">
        <f>SUM(G25,H25,I25,J25)</f>
        <v>0</v>
      </c>
    </row>
    <row r="26" spans="1:22" customHeight="1" ht="19.5">
      <c r="A26" s="91" t="s">
        <v>71</v>
      </c>
      <c r="B26" s="16" t="s">
        <v>15</v>
      </c>
      <c r="C26" s="16">
        <f>_xlfn.COUNTIFS(#REF!, "m",#REF!, "*severely wasted*",#REF!, "*4*")</f>
        <v>0</v>
      </c>
      <c r="D26" s="16">
        <f>_xlfn.COUNTIFS(#REF!, "m",#REF!, "wasted",#REF!, "*4*")</f>
        <v>0</v>
      </c>
      <c r="E26" s="16">
        <f>_xlfn.COUNTIFS(#REF!, "m",#REF!, "*normal*",#REF!, "*4*")</f>
        <v>0</v>
      </c>
      <c r="F26" s="16">
        <f>_xlfn.COUNTIFS(#REF!, "m",#REF!, "overweight",#REF!, "*4*")</f>
        <v>0</v>
      </c>
      <c r="G26" s="16">
        <f>_xlfn.COUNTIFS(#REF!, "m",#REF!, "severely stunted",#REF!, "*4*")</f>
        <v>0</v>
      </c>
      <c r="H26" s="16">
        <f>_xlfn.COUNTIFS(#REF!, "m",#REF!, "stunted",#REF!, "*4*")</f>
        <v>0</v>
      </c>
      <c r="I26" s="16">
        <f>_xlfn.COUNTIFS(#REF!, "m",#REF!, "*normal*",#REF!, "*4*")</f>
        <v>0</v>
      </c>
      <c r="J26" s="16">
        <f>_xlfn.COUNTIFS(#REF!, "m",#REF!, "tall",#REF!, "*4*")</f>
        <v>0</v>
      </c>
      <c r="K26" s="16">
        <v>0</v>
      </c>
      <c r="L26" s="16">
        <f>_xlfn.COUNTIFS(#REF!, "m",#REF!, "severely stunted",#REF!, "*normal*",#REF!, "*4*")
+_xlfn.COUNTIFS(#REF!, "m",#REF!, "severely stunted",#REF!,  "overweigth",#REF!, "*4*")
+_xlfn.COUNTIFS(#REF!, "m",#REF!, "stunted",#REF!, "*normal*",#REF!, "*4*")
+_xlfn.COUNTIFS(#REF!, "m",#REF!, "stunted",#REF!,  "overweigth",#REF!, "*4*")</f>
        <v>0</v>
      </c>
      <c r="M26" s="16">
        <f>_xlfn.COUNTIFS(#REF!, "m",#REF!, "*4*",#REF!, "*normal*",#REF!, "*normal*",#REF!, "yes",#REF!, "no")
+_xlfn.COUNTIFS(#REF!, "m",#REF!, "*4*",#REF!, "*normal*",#REF!,  "tall",#REF!, "yes",#REF!, "no")</f>
        <v>0</v>
      </c>
      <c r="N26" s="16">
        <f>_xlfn.COUNTIFS(#REF!, "m",#REF!, "*1*",#REF!, "*normal*",#REF!, "*normal*",#REF!, "no",#REF!, "yes")
+_xlfn.COUNTIFS(#REF!, "m",#REF!, "*1*",#REF!, "*normal*",#REF!,  "tall",#REF!, "no",#REF!, "yes")</f>
        <v>0</v>
      </c>
      <c r="O26" s="16">
        <v>0</v>
      </c>
      <c r="P26" s="16">
        <v>0</v>
      </c>
      <c r="Q26" s="16">
        <v>0</v>
      </c>
      <c r="R26" s="16">
        <v>0</v>
      </c>
      <c r="S26" s="20"/>
      <c r="U26" s="32">
        <f>SUM(C26,D26,E26,F26)</f>
        <v>0</v>
      </c>
      <c r="V26" s="21">
        <f>SUM(G26,H26,I26,J26)</f>
        <v>0</v>
      </c>
    </row>
    <row r="27" spans="1:22" customHeight="1" ht="19.5">
      <c r="A27" s="92"/>
      <c r="B27" s="16" t="s">
        <v>16</v>
      </c>
      <c r="C27" s="16">
        <f>_xlfn.COUNTIFS(#REF!, "f",#REF!, "*severely wasted*",#REF!, "*4*")</f>
        <v>0</v>
      </c>
      <c r="D27" s="16">
        <f>_xlfn.COUNTIFS(#REF!, "f",#REF!, "wasted",#REF!, "*4*")</f>
        <v>0</v>
      </c>
      <c r="E27" s="16">
        <f>_xlfn.COUNTIFS(#REF!, "f",#REF!, "*normal*",#REF!, "*4*")</f>
        <v>0</v>
      </c>
      <c r="F27" s="16">
        <f>_xlfn.COUNTIFS(#REF!, "f",#REF!, "overweight",#REF!, "*4*")</f>
        <v>0</v>
      </c>
      <c r="G27" s="16">
        <f>_xlfn.COUNTIFS(#REF!, "f",#REF!, "severely stunted",#REF!, "*4*")</f>
        <v>0</v>
      </c>
      <c r="H27" s="16">
        <f>_xlfn.COUNTIFS(#REF!, "f",#REF!, "stunted",#REF!, "*4*")</f>
        <v>0</v>
      </c>
      <c r="I27" s="16">
        <f>_xlfn.COUNTIFS(#REF!, "f",#REF!, "*normal*",#REF!, "*4*")</f>
        <v>0</v>
      </c>
      <c r="J27" s="16">
        <f>_xlfn.COUNTIFS(#REF!, "f",#REF!, "tall",#REF!, "*4*")</f>
        <v>0</v>
      </c>
      <c r="K27" s="16">
        <v>0</v>
      </c>
      <c r="L27" s="16">
        <f>_xlfn.COUNTIFS(#REF!, "f",#REF!, "severely stunted",#REF!, "*normal*",#REF!, "*4*")
+_xlfn.COUNTIFS(#REF!, "f",#REF!, "severely stunted",#REF!,  "overweigth",#REF!, "*4*")
+_xlfn.COUNTIFS(#REF!, "f",#REF!, "stunted",#REF!, "*normal*",#REF!, "*4*")
+_xlfn.COUNTIFS(#REF!, "f",#REF!, "stunted",#REF!,  "overweigth",#REF!, "*4*")</f>
        <v>0</v>
      </c>
      <c r="M27" s="16">
        <f>_xlfn.COUNTIFS(#REF!, "f",#REF!, "*4*",#REF!, "*normal*",#REF!, "*normal*",#REF!, "yes",#REF!, "no")
+_xlfn.COUNTIFS(#REF!, "f",#REF!, "*4*",#REF!, "*normal*",#REF!,  "tall",#REF!, "yes",#REF!, "no")</f>
        <v>0</v>
      </c>
      <c r="N27" s="16">
        <f>_xlfn.COUNTIFS(#REF!, "f",#REF!, "*1*",#REF!, "*normal*",#REF!, "*normal*",#REF!, "no",#REF!, "yes")
+_xlfn.COUNTIFS(#REF!, "f",#REF!, "*1*",#REF!, "*normal*",#REF!,  "tall",#REF!, "no",#REF!, "yes")</f>
        <v>0</v>
      </c>
      <c r="O27" s="16">
        <v>0</v>
      </c>
      <c r="P27" s="16">
        <v>0</v>
      </c>
      <c r="Q27" s="16">
        <v>0</v>
      </c>
      <c r="R27" s="16">
        <v>0</v>
      </c>
      <c r="S27" s="20"/>
      <c r="U27" s="32">
        <f>SUM(C27,D27,E27,F27)</f>
        <v>0</v>
      </c>
      <c r="V27" s="21">
        <f>SUM(G27,H27,I27,J27)</f>
        <v>0</v>
      </c>
    </row>
    <row r="28" spans="1:22" customHeight="1" ht="19.5">
      <c r="A28" s="93"/>
      <c r="B28" s="16" t="s">
        <v>25</v>
      </c>
      <c r="C28" s="22">
        <f>SUM(C26,C27)</f>
        <v>0</v>
      </c>
      <c r="D28" s="22">
        <f>SUM(D26,D27)</f>
        <v>0</v>
      </c>
      <c r="E28" s="22">
        <f>SUM(E26,E27)</f>
        <v>0</v>
      </c>
      <c r="F28" s="22">
        <f>SUM(F26,F27)</f>
        <v>0</v>
      </c>
      <c r="G28" s="22">
        <f>SUM(G26,G27)</f>
        <v>0</v>
      </c>
      <c r="H28" s="22">
        <f>SUM(H26,H27)</f>
        <v>0</v>
      </c>
      <c r="I28" s="22">
        <f>SUM(I26,I27)</f>
        <v>0</v>
      </c>
      <c r="J28" s="22">
        <f>SUM(J26,J27)</f>
        <v>0</v>
      </c>
      <c r="K28" s="22">
        <f>SUM(K26,K27)</f>
        <v>0</v>
      </c>
      <c r="L28" s="22">
        <f>SUM(L26,L27)</f>
        <v>0</v>
      </c>
      <c r="M28" s="22">
        <f>SUM(M26,M27)</f>
        <v>0</v>
      </c>
      <c r="N28" s="22">
        <f>SUM(N26,N27)</f>
        <v>0</v>
      </c>
      <c r="O28" s="22">
        <f>SUM(O26,O27)</f>
        <v>0</v>
      </c>
      <c r="P28" s="22">
        <f>SUM(P26,P27)</f>
        <v>0</v>
      </c>
      <c r="Q28" s="22">
        <f>SUM(Q26,Q27)</f>
        <v>0</v>
      </c>
      <c r="R28" s="22">
        <f>SUM(R26,R27)</f>
        <v>0</v>
      </c>
      <c r="S28" s="20"/>
      <c r="U28" s="32">
        <f>SUM(C28,D28,E28,F28)</f>
        <v>0</v>
      </c>
      <c r="V28" s="21">
        <f>SUM(G28,H28,I28,J28)</f>
        <v>0</v>
      </c>
    </row>
    <row r="29" spans="1:22" customHeight="1" ht="19.5">
      <c r="A29" s="91" t="s">
        <v>72</v>
      </c>
      <c r="B29" s="16" t="s">
        <v>15</v>
      </c>
      <c r="C29" s="16">
        <f>_xlfn.COUNTIFS(#REF!, "m",#REF!, "*severely wasted*",#REF!, "*5*")</f>
        <v>0</v>
      </c>
      <c r="D29" s="16">
        <f>_xlfn.COUNTIFS(#REF!, "m",#REF!, "wasted",#REF!, "*5*")</f>
        <v>0</v>
      </c>
      <c r="E29" s="16">
        <f>_xlfn.COUNTIFS(#REF!, "m",#REF!, "*normal*",#REF!, "*5*")</f>
        <v>0</v>
      </c>
      <c r="F29" s="16">
        <f>_xlfn.COUNTIFS(#REF!, "m",#REF!, "overweight",#REF!, "*5*")</f>
        <v>0</v>
      </c>
      <c r="G29" s="16">
        <f>_xlfn.COUNTIFS(#REF!, "m",#REF!, "severely stunted",#REF!, "*5*")</f>
        <v>0</v>
      </c>
      <c r="H29" s="16">
        <f>_xlfn.COUNTIFS(#REF!, "m",#REF!, "stunted",#REF!, "*5*")</f>
        <v>0</v>
      </c>
      <c r="I29" s="16">
        <f>_xlfn.COUNTIFS(#REF!, "m",#REF!, "*normal*",#REF!, "*5*")</f>
        <v>0</v>
      </c>
      <c r="J29" s="16">
        <f>_xlfn.COUNTIFS(#REF!, "m",#REF!, "tall",#REF!, "*5*")</f>
        <v>0</v>
      </c>
      <c r="K29" s="16">
        <v>0</v>
      </c>
      <c r="L29" s="16">
        <f>_xlfn.COUNTIFS(#REF!, "m",#REF!, "severely stunted",#REF!, "*normal*",#REF!, "*5*")
+_xlfn.COUNTIFS(#REF!, "m",#REF!, "severely stunted",#REF!,  "overweigth",#REF!, "*5*")
+_xlfn.COUNTIFS(#REF!, "m",#REF!, "stunted",#REF!, "*normal*",#REF!, "*5*")
+_xlfn.COUNTIFS(#REF!, "m",#REF!, "stunted",#REF!,  "overweigth",#REF!, "*5*")</f>
        <v>0</v>
      </c>
      <c r="M29" s="16">
        <f>_xlfn.COUNTIFS(#REF!, "m",#REF!, "*5*",#REF!, "*normal*",#REF!, "*normal*",#REF!, "yes",#REF!, "no")
+_xlfn.COUNTIFS(#REF!, "m",#REF!, "*5*",#REF!, "*normal*",#REF!,  "tall",#REF!, "yes",#REF!, "no")</f>
        <v>0</v>
      </c>
      <c r="N29" s="16">
        <f>_xlfn.COUNTIFS(#REF!, "m",#REF!, "*1*",#REF!, "*normal*",#REF!, "*normal*",#REF!, "no",#REF!, "yes")
+_xlfn.COUNTIFS(#REF!, "m",#REF!, "*1*",#REF!, "*normal*",#REF!,  "tall",#REF!, "no",#REF!, "yes")</f>
        <v>0</v>
      </c>
      <c r="O29" s="16">
        <v>0</v>
      </c>
      <c r="P29" s="16">
        <v>0</v>
      </c>
      <c r="Q29" s="16">
        <v>0</v>
      </c>
      <c r="R29" s="16">
        <v>0</v>
      </c>
      <c r="S29" s="20"/>
      <c r="U29" s="32">
        <f>SUM(C29,D29,E29,F29)</f>
        <v>0</v>
      </c>
      <c r="V29" s="21">
        <f>SUM(G29,H29,I29,J29)</f>
        <v>0</v>
      </c>
    </row>
    <row r="30" spans="1:22" customHeight="1" ht="19.5">
      <c r="A30" s="92"/>
      <c r="B30" s="16" t="s">
        <v>16</v>
      </c>
      <c r="C30" s="16">
        <f>_xlfn.COUNTIFS(#REF!, "f",#REF!, "*severely wasted*",#REF!, "*5*")</f>
        <v>0</v>
      </c>
      <c r="D30" s="16">
        <f>_xlfn.COUNTIFS(#REF!, "f",#REF!, "wasted",#REF!, "*5*")</f>
        <v>0</v>
      </c>
      <c r="E30" s="16">
        <f>_xlfn.COUNTIFS(#REF!, "f",#REF!, "*normal*",#REF!, "*5*")</f>
        <v>0</v>
      </c>
      <c r="F30" s="16">
        <f>_xlfn.COUNTIFS(#REF!, "f",#REF!, "overweight",#REF!, "*5*")</f>
        <v>0</v>
      </c>
      <c r="G30" s="16">
        <f>_xlfn.COUNTIFS(#REF!, "f",#REF!, "severely stunted",#REF!, "*5*")</f>
        <v>0</v>
      </c>
      <c r="H30" s="16">
        <f>_xlfn.COUNTIFS(#REF!, "f",#REF!, "stunted",#REF!, "*5*")</f>
        <v>0</v>
      </c>
      <c r="I30" s="16">
        <f>_xlfn.COUNTIFS(#REF!, "f",#REF!, "*normal*",#REF!, "*5*")</f>
        <v>0</v>
      </c>
      <c r="J30" s="16">
        <f>_xlfn.COUNTIFS(#REF!, "f",#REF!, "tall",#REF!, "*5*")</f>
        <v>0</v>
      </c>
      <c r="K30" s="16">
        <v>0</v>
      </c>
      <c r="L30" s="16">
        <f>_xlfn.COUNTIFS(#REF!, "f",#REF!, "severely stunted",#REF!, "*normal*",#REF!, "*5*")
+_xlfn.COUNTIFS(#REF!, "f",#REF!, "severely stunted",#REF!,  "overweigth",#REF!, "*5*")
+_xlfn.COUNTIFS(#REF!, "f",#REF!, "stunted",#REF!, "*normal*",#REF!, "*5*")
+_xlfn.COUNTIFS(#REF!, "f",#REF!, "stunted",#REF!,  "overweigth",#REF!, "*5*")</f>
        <v>0</v>
      </c>
      <c r="M30" s="16">
        <f>_xlfn.COUNTIFS(#REF!, "f",#REF!, "*5*",#REF!, "*normal*",#REF!, "*normal*",#REF!, "yes",#REF!, "no")
+_xlfn.COUNTIFS(#REF!, "f",#REF!, "*5*",#REF!, "*normal*",#REF!,  "tall",#REF!, "yes",#REF!, "no")</f>
        <v>0</v>
      </c>
      <c r="N30" s="16">
        <f>_xlfn.COUNTIFS(#REF!, "f",#REF!, "*1*",#REF!, "*normal*",#REF!, "*normal*",#REF!, "no",#REF!, "yes")
+_xlfn.COUNTIFS(#REF!, "f",#REF!, "*1*",#REF!, "*normal*",#REF!,  "tall",#REF!, "no",#REF!, "yes")</f>
        <v>0</v>
      </c>
      <c r="O30" s="16">
        <v>0</v>
      </c>
      <c r="P30" s="16">
        <v>0</v>
      </c>
      <c r="Q30" s="16">
        <v>0</v>
      </c>
      <c r="R30" s="16">
        <v>0</v>
      </c>
      <c r="S30" s="20"/>
      <c r="U30" s="32">
        <f>SUM(C30,D30,E30,F30)</f>
        <v>0</v>
      </c>
      <c r="V30" s="21">
        <f>SUM(G30,H30,I30,J30)</f>
        <v>0</v>
      </c>
    </row>
    <row r="31" spans="1:22" customHeight="1" ht="19.5">
      <c r="A31" s="93"/>
      <c r="B31" s="16" t="s">
        <v>25</v>
      </c>
      <c r="C31" s="22">
        <f>SUM(C29,C30)</f>
        <v>0</v>
      </c>
      <c r="D31" s="22">
        <f>SUM(D29,D30)</f>
        <v>0</v>
      </c>
      <c r="E31" s="22">
        <f>SUM(E29,E30)</f>
        <v>0</v>
      </c>
      <c r="F31" s="22">
        <f>SUM(F29,F30)</f>
        <v>0</v>
      </c>
      <c r="G31" s="22">
        <f>SUM(G29,G30)</f>
        <v>0</v>
      </c>
      <c r="H31" s="22">
        <f>SUM(H29,H30)</f>
        <v>0</v>
      </c>
      <c r="I31" s="22">
        <f>SUM(I29,I30)</f>
        <v>0</v>
      </c>
      <c r="J31" s="22">
        <f>SUM(J29,J30)</f>
        <v>0</v>
      </c>
      <c r="K31" s="22">
        <f>SUM(K29,K30)</f>
        <v>0</v>
      </c>
      <c r="L31" s="22">
        <f>SUM(L29,L30)</f>
        <v>0</v>
      </c>
      <c r="M31" s="22">
        <f>SUM(M29,M30)</f>
        <v>0</v>
      </c>
      <c r="N31" s="22">
        <f>SUM(N29,N30)</f>
        <v>0</v>
      </c>
      <c r="O31" s="22">
        <f>SUM(O29,O30)</f>
        <v>0</v>
      </c>
      <c r="P31" s="22">
        <f>SUM(P29,P30)</f>
        <v>0</v>
      </c>
      <c r="Q31" s="22">
        <f>SUM(Q29,Q30)</f>
        <v>0</v>
      </c>
      <c r="R31" s="22">
        <f>SUM(R29,R30)</f>
        <v>0</v>
      </c>
      <c r="S31" s="20"/>
      <c r="U31" s="32">
        <f>SUM(C31,D31,E31,F31)</f>
        <v>0</v>
      </c>
      <c r="V31" s="21">
        <f>SUM(G31,H31,I31,J31)</f>
        <v>0</v>
      </c>
    </row>
    <row r="32" spans="1:22" customHeight="1" ht="19.5">
      <c r="A32" s="91" t="s">
        <v>73</v>
      </c>
      <c r="B32" s="16" t="s">
        <v>15</v>
      </c>
      <c r="C32" s="16">
        <f>_xlfn.COUNTIFS(#REF!, "m",#REF!, "*severely wasted*",#REF!, "*6*")</f>
        <v>0</v>
      </c>
      <c r="D32" s="16">
        <f>_xlfn.COUNTIFS(#REF!, "m",#REF!, "wasted",#REF!, "*6*")</f>
        <v>0</v>
      </c>
      <c r="E32" s="16">
        <f>_xlfn.COUNTIFS(#REF!, "m",#REF!, "*normal*",#REF!, "*6*")</f>
        <v>0</v>
      </c>
      <c r="F32" s="16">
        <f>_xlfn.COUNTIFS(#REF!, "m",#REF!, "overweight",#REF!, "*6*")</f>
        <v>0</v>
      </c>
      <c r="G32" s="16">
        <f>_xlfn.COUNTIFS(#REF!, "m",#REF!, "severely stunted",#REF!, "*6*")</f>
        <v>0</v>
      </c>
      <c r="H32" s="16">
        <f>_xlfn.COUNTIFS(#REF!, "m",#REF!, "stunted",#REF!, "*6*")</f>
        <v>0</v>
      </c>
      <c r="I32" s="16">
        <f>_xlfn.COUNTIFS(#REF!, "m",#REF!, "*normal*",#REF!, "*6*")</f>
        <v>0</v>
      </c>
      <c r="J32" s="16">
        <f>_xlfn.COUNTIFS(#REF!, "m",#REF!, "tall",#REF!, "*6*")</f>
        <v>0</v>
      </c>
      <c r="K32" s="16">
        <v>0</v>
      </c>
      <c r="L32" s="16">
        <f>_xlfn.COUNTIFS(#REF!, "m",#REF!, "severely stunted",#REF!, "*normal*",#REF!, "*6*")
+_xlfn.COUNTIFS(#REF!, "m",#REF!, "severely stunted",#REF!,  "overweigth",#REF!, "*6*")
+_xlfn.COUNTIFS(#REF!, "m",#REF!, "stunted",#REF!, "*normal*",#REF!, "*6*")
+_xlfn.COUNTIFS(#REF!, "m",#REF!, "stunted",#REF!,  "overweigth",#REF!, "*6*")</f>
        <v>0</v>
      </c>
      <c r="M32" s="16">
        <f>_xlfn.COUNTIFS(#REF!, "m",#REF!, "*6*",#REF!, "*normal*",#REF!, "*normal*",#REF!, "yes",#REF!, "no")
+_xlfn.COUNTIFS(#REF!, "m",#REF!, "*6*",#REF!, "*normal*",#REF!,  "tall",#REF!, "yes",#REF!, "no")</f>
        <v>0</v>
      </c>
      <c r="N32" s="16">
        <f>_xlfn.COUNTIFS(#REF!, "m",#REF!, "*1*",#REF!, "*normal*",#REF!, "*normal*",#REF!, "no",#REF!, "yes")
+_xlfn.COUNTIFS(#REF!, "m",#REF!, "*1*",#REF!, "*normal*",#REF!,  "tall",#REF!, "no",#REF!, "yes")</f>
        <v>0</v>
      </c>
      <c r="O32" s="16">
        <v>0</v>
      </c>
      <c r="P32" s="16">
        <v>0</v>
      </c>
      <c r="Q32" s="16">
        <v>0</v>
      </c>
      <c r="R32" s="16">
        <v>0</v>
      </c>
      <c r="S32" s="20"/>
      <c r="U32" s="32">
        <f>SUM(C32,D32,E32,F32)</f>
        <v>0</v>
      </c>
      <c r="V32" s="21">
        <f>SUM(G32,H32,I32,J32)</f>
        <v>0</v>
      </c>
    </row>
    <row r="33" spans="1:22" customHeight="1" ht="19.5">
      <c r="A33" s="92"/>
      <c r="B33" s="16" t="s">
        <v>16</v>
      </c>
      <c r="C33" s="16">
        <f>_xlfn.COUNTIFS(#REF!, "f",#REF!, "*severely wasted*",#REF!, "*6*")</f>
        <v>0</v>
      </c>
      <c r="D33" s="16">
        <f>_xlfn.COUNTIFS(#REF!, "f",#REF!, "wasted",#REF!, "*6*")</f>
        <v>0</v>
      </c>
      <c r="E33" s="16">
        <f>_xlfn.COUNTIFS(#REF!, "f",#REF!, "*normal*",#REF!, "*6*")</f>
        <v>0</v>
      </c>
      <c r="F33" s="16">
        <f>_xlfn.COUNTIFS(#REF!, "f",#REF!, "overweight",#REF!, "*6*")</f>
        <v>0</v>
      </c>
      <c r="G33" s="16">
        <f>_xlfn.COUNTIFS(#REF!, "f",#REF!, "severely stunted",#REF!, "*6*")</f>
        <v>0</v>
      </c>
      <c r="H33" s="16">
        <f>_xlfn.COUNTIFS(#REF!, "f",#REF!, "stunted",#REF!, "*6*")</f>
        <v>0</v>
      </c>
      <c r="I33" s="16">
        <f>_xlfn.COUNTIFS(#REF!, "f",#REF!, "*normal*",#REF!, "*6*")</f>
        <v>0</v>
      </c>
      <c r="J33" s="16">
        <f>_xlfn.COUNTIFS(#REF!, "f",#REF!, "tall",#REF!, "*6*")</f>
        <v>0</v>
      </c>
      <c r="K33" s="16">
        <v>0</v>
      </c>
      <c r="L33" s="16">
        <f>_xlfn.COUNTIFS(#REF!, "f",#REF!, "severely stunted",#REF!, "*normal*",#REF!, "*6*")
+_xlfn.COUNTIFS(#REF!, "f",#REF!, "severely stunted",#REF!,  "overweigth",#REF!, "*6*")
+_xlfn.COUNTIFS(#REF!, "f",#REF!, "stunted",#REF!, "*normal*",#REF!, "*6*")
+_xlfn.COUNTIFS(#REF!, "f",#REF!, "stunted",#REF!,  "overweigth",#REF!, "*6*")</f>
        <v>0</v>
      </c>
      <c r="M33" s="16">
        <f>_xlfn.COUNTIFS(#REF!, "f",#REF!, "*6*",#REF!, "*normal*",#REF!, "*normal*",#REF!, "yes",#REF!, "no")
+_xlfn.COUNTIFS(#REF!, "f",#REF!, "*6*",#REF!, "*normal*",#REF!,  "tall",#REF!, "yes",#REF!, "no")</f>
        <v>0</v>
      </c>
      <c r="N33" s="16">
        <f>_xlfn.COUNTIFS(#REF!, "f",#REF!, "*1*",#REF!, "*normal*",#REF!, "*normal*",#REF!, "no",#REF!, "yes")
+_xlfn.COUNTIFS(#REF!, "f",#REF!, "*1*",#REF!, "*normal*",#REF!,  "tall",#REF!, "no",#REF!, "yes")</f>
        <v>0</v>
      </c>
      <c r="O33" s="16">
        <v>0</v>
      </c>
      <c r="P33" s="16">
        <v>0</v>
      </c>
      <c r="Q33" s="16">
        <v>0</v>
      </c>
      <c r="R33" s="16">
        <v>0</v>
      </c>
      <c r="S33" s="20"/>
      <c r="U33" s="32">
        <f>SUM(C33,D33,E33,F33)</f>
        <v>0</v>
      </c>
      <c r="V33" s="21">
        <f>SUM(G33,H33,I33,J33)</f>
        <v>0</v>
      </c>
    </row>
    <row r="34" spans="1:22" customHeight="1" ht="19.5">
      <c r="A34" s="93"/>
      <c r="B34" s="16" t="s">
        <v>25</v>
      </c>
      <c r="C34" s="22">
        <f>SUM(C32,C33)</f>
        <v>0</v>
      </c>
      <c r="D34" s="22">
        <f>SUM(D32,D33)</f>
        <v>0</v>
      </c>
      <c r="E34" s="22">
        <f>SUM(E32,E33)</f>
        <v>0</v>
      </c>
      <c r="F34" s="22">
        <f>SUM(F32,F33)</f>
        <v>0</v>
      </c>
      <c r="G34" s="22">
        <f>SUM(G32,G33)</f>
        <v>0</v>
      </c>
      <c r="H34" s="22">
        <f>SUM(H32,H33)</f>
        <v>0</v>
      </c>
      <c r="I34" s="22">
        <f>SUM(I32,I33)</f>
        <v>0</v>
      </c>
      <c r="J34" s="22">
        <f>SUM(J32,J33)</f>
        <v>0</v>
      </c>
      <c r="K34" s="22">
        <f>SUM(K32,K33)</f>
        <v>0</v>
      </c>
      <c r="L34" s="22">
        <f>SUM(L32,L33)</f>
        <v>0</v>
      </c>
      <c r="M34" s="22">
        <f>SUM(M32,M33)</f>
        <v>0</v>
      </c>
      <c r="N34" s="22">
        <f>SUM(N32,N33)</f>
        <v>0</v>
      </c>
      <c r="O34" s="22">
        <f>SUM(O32,O33)</f>
        <v>0</v>
      </c>
      <c r="P34" s="22">
        <f>SUM(P32,P33)</f>
        <v>0</v>
      </c>
      <c r="Q34" s="22">
        <f>SUM(Q32,Q33)</f>
        <v>0</v>
      </c>
      <c r="R34" s="22">
        <f>SUM(R32,R33)</f>
        <v>0</v>
      </c>
      <c r="S34" s="20"/>
      <c r="U34" s="32">
        <f>SUM(C34,D34,E34,F34)</f>
        <v>0</v>
      </c>
      <c r="V34" s="21">
        <f>SUM(G34,H34,I34,J34)</f>
        <v>0</v>
      </c>
    </row>
    <row r="35" spans="1:22" customHeight="1" ht="19.5">
      <c r="A35" s="91" t="s">
        <v>74</v>
      </c>
      <c r="B35" s="16" t="s">
        <v>15</v>
      </c>
      <c r="C35" s="16">
        <f>_xlfn.COUNTIFS(#REF!, "m",#REF!, "*severely wasted*",#REF!, "non-graded")</f>
        <v>0</v>
      </c>
      <c r="D35" s="16">
        <f>_xlfn.COUNTIFS(#REF!, "m",#REF!, "wasted",#REF!, "non-graded")</f>
        <v>0</v>
      </c>
      <c r="E35" s="16">
        <f>_xlfn.COUNTIFS(#REF!, "m",#REF!, "*normal*",#REF!, "non-graded")</f>
        <v>0</v>
      </c>
      <c r="F35" s="16">
        <f>_xlfn.COUNTIFS(#REF!, "m",#REF!, "overweigth",#REF!, "non-graded")</f>
        <v>0</v>
      </c>
      <c r="G35" s="16">
        <f>_xlfn.COUNTIFS(#REF!, "m",#REF!, "severely stunted",#REF!, "non-graded")</f>
        <v>0</v>
      </c>
      <c r="H35" s="16">
        <f>_xlfn.COUNTIFS(#REF!, "m",#REF!, "stunted",#REF!, "non-graded")</f>
        <v>0</v>
      </c>
      <c r="I35" s="16">
        <f>_xlfn.COUNTIFS(#REF!, "m",#REF!, "*normal*",#REF!, "non-graded")</f>
        <v>0</v>
      </c>
      <c r="J35" s="16">
        <f>_xlfn.COUNTIFS(#REF!, "m",#REF!, "tall",#REF!, "non-graded")</f>
        <v>0</v>
      </c>
      <c r="K35" s="16">
        <v>0</v>
      </c>
      <c r="L35" s="16">
        <f>_xlfn.COUNTIFS(#REF!, "m",#REF!, "severely stunted",#REF!, "*normal*",#REF!, "non-graded")
+_xlfn.COUNTIFS(#REF!, "m",#REF!, "severely stunted",#REF!,  "overweigth",#REF!, "non-graded")
+_xlfn.COUNTIFS(#REF!, "m",#REF!, "stunted",#REF!, "*normal*",#REF!, "non-graded")
+_xlfn.COUNTIFS(#REF!, "m",#REF!, "stunted",#REF!,  "overweigth",#REF!, "non-graded")</f>
        <v>0</v>
      </c>
      <c r="M35" s="16">
        <f>_xlfn.COUNTIFS(#REF!, "m",#REF!, "non-graded",#REF!, "*normal*",#REF!, "*normal*",#REF!, "yes",#REF!, "no")
+_xlfn.COUNTIFS(#REF!, "m",#REF!, "non-graded",#REF!, "*normal*",#REF!,  "tall",#REF!, "yes",#REF!, "no")</f>
        <v>0</v>
      </c>
      <c r="N35" s="16">
        <f>_xlfn.COUNTIFS(#REF!, "m",#REF!, "*1*",#REF!, "*normal*",#REF!, "*normal*",#REF!, "no",#REF!, "yes")
+_xlfn.COUNTIFS(#REF!, "m",#REF!, "*1*",#REF!, "*normal*",#REF!,  "tall",#REF!, "no",#REF!, "yes")</f>
        <v>0</v>
      </c>
      <c r="O35" s="16">
        <v>0</v>
      </c>
      <c r="P35" s="16">
        <v>0</v>
      </c>
      <c r="Q35" s="16">
        <v>0</v>
      </c>
      <c r="R35" s="16">
        <v>0</v>
      </c>
      <c r="S35" s="20"/>
      <c r="U35" s="32">
        <f>SUM(C35,D35,E35,F35)</f>
        <v>0</v>
      </c>
      <c r="V35" s="21">
        <f>SUM(G35,H35,I35,J35)</f>
        <v>0</v>
      </c>
    </row>
    <row r="36" spans="1:22" customHeight="1" ht="19.5">
      <c r="A36" s="99"/>
      <c r="B36" s="16" t="s">
        <v>16</v>
      </c>
      <c r="C36" s="16">
        <f>_xlfn.COUNTIFS(#REF!, "f",#REF!, "*severely wasted*",#REF!, "non-graded")</f>
        <v>0</v>
      </c>
      <c r="D36" s="16">
        <f>_xlfn.COUNTIFS(#REF!, "f",#REF!, "wasted",#REF!, "non-graded")</f>
        <v>0</v>
      </c>
      <c r="E36" s="16">
        <f>_xlfn.COUNTIFS(#REF!, "f",#REF!, "*normal*",#REF!, "non-graded")</f>
        <v>0</v>
      </c>
      <c r="F36" s="16">
        <f>_xlfn.COUNTIFS(#REF!, "f",#REF!, "overweigth",#REF!, "non-graded")</f>
        <v>0</v>
      </c>
      <c r="G36" s="16">
        <f>_xlfn.COUNTIFS(#REF!, "f",#REF!, "severely stunted",#REF!, "non-graded")</f>
        <v>0</v>
      </c>
      <c r="H36" s="16">
        <f>_xlfn.COUNTIFS(#REF!, "f",#REF!, "stunted",#REF!, "non-graded")</f>
        <v>0</v>
      </c>
      <c r="I36" s="16">
        <f>_xlfn.COUNTIFS(#REF!, "f",#REF!, "*normal*",#REF!, "non-graded")</f>
        <v>0</v>
      </c>
      <c r="J36" s="16">
        <f>_xlfn.COUNTIFS(#REF!, "f",#REF!, "tall",#REF!, "non-graded")</f>
        <v>0</v>
      </c>
      <c r="K36" s="16">
        <v>0</v>
      </c>
      <c r="L36" s="16">
        <f>_xlfn.COUNTIFS(#REF!, "f",#REF!, "severely stunted",#REF!, "*normal*",#REF!, "non-graded")
+_xlfn.COUNTIFS(#REF!, "f",#REF!, "severely stunted",#REF!,  "overweigth",#REF!, "non-graded")
+_xlfn.COUNTIFS(#REF!, "f",#REF!, "stunted",#REF!, "*normal*",#REF!, "non-graded")
+_xlfn.COUNTIFS(#REF!, "f",#REF!, "stunted",#REF!,  "overweigth",#REF!, "non-graded")</f>
        <v>0</v>
      </c>
      <c r="M36" s="16">
        <f>_xlfn.COUNTIFS(#REF!, "f",#REF!, "non-graded",#REF!, "*normal*",#REF!, "*normal*",#REF!, "yes",#REF!, "no")
+_xlfn.COUNTIFS(#REF!, "f",#REF!, "non-graded",#REF!, "*normal*",#REF!,  "tall",#REF!, "yes",#REF!, "no")</f>
        <v>0</v>
      </c>
      <c r="N36" s="16">
        <f>_xlfn.COUNTIFS(#REF!, "f",#REF!, "*1*",#REF!, "*normal*",#REF!, "*normal*",#REF!, "no",#REF!, "yes")
+_xlfn.COUNTIFS(#REF!, "f",#REF!, "*1*",#REF!, "*normal*",#REF!,  "tall",#REF!, "no",#REF!, "yes")</f>
        <v>0</v>
      </c>
      <c r="O36" s="16">
        <v>0</v>
      </c>
      <c r="P36" s="16">
        <v>0</v>
      </c>
      <c r="Q36" s="16">
        <v>0</v>
      </c>
      <c r="R36" s="16">
        <v>0</v>
      </c>
      <c r="S36" s="20"/>
      <c r="U36" s="32">
        <f>SUM(C36,D36,E36,F36)</f>
        <v>0</v>
      </c>
      <c r="V36" s="21">
        <f>SUM(G36,H36,I36,J36)</f>
        <v>0</v>
      </c>
    </row>
    <row r="37" spans="1:22" customHeight="1" ht="19.5">
      <c r="A37" s="100"/>
      <c r="B37" s="16" t="s">
        <v>25</v>
      </c>
      <c r="C37" s="22">
        <f>SUM(C35,C36)</f>
        <v>0</v>
      </c>
      <c r="D37" s="22">
        <f>SUM(D35,D36)</f>
        <v>0</v>
      </c>
      <c r="E37" s="22">
        <f>SUM(E35,E36)</f>
        <v>0</v>
      </c>
      <c r="F37" s="22">
        <f>SUM(F35,F36)</f>
        <v>0</v>
      </c>
      <c r="G37" s="22">
        <f>SUM(G35,G36)</f>
        <v>0</v>
      </c>
      <c r="H37" s="22">
        <f>SUM(H35,H36)</f>
        <v>0</v>
      </c>
      <c r="I37" s="22">
        <f>SUM(I35,I36)</f>
        <v>0</v>
      </c>
      <c r="J37" s="22">
        <f>SUM(J35,J36)</f>
        <v>0</v>
      </c>
      <c r="K37" s="22">
        <f>SUM(K35,K36)</f>
        <v>0</v>
      </c>
      <c r="L37" s="22">
        <f>SUM(L35,L36)</f>
        <v>0</v>
      </c>
      <c r="M37" s="22">
        <f>SUM(M35,M36)</f>
        <v>0</v>
      </c>
      <c r="N37" s="22">
        <f>SUM(N35,N36)</f>
        <v>0</v>
      </c>
      <c r="O37" s="22">
        <f>SUM(O35,O36)</f>
        <v>0</v>
      </c>
      <c r="P37" s="22">
        <f>SUM(P35,P36)</f>
        <v>0</v>
      </c>
      <c r="Q37" s="22">
        <f>SUM(Q35,Q36)</f>
        <v>0</v>
      </c>
      <c r="R37" s="22">
        <f>SUM(R35,R36)</f>
        <v>0</v>
      </c>
      <c r="S37" s="20"/>
      <c r="U37" s="32">
        <f>SUM(C37,D37,E37,F37)</f>
        <v>0</v>
      </c>
      <c r="V37" s="21">
        <f>SUM(G37,H37,I37,J37)</f>
        <v>0</v>
      </c>
    </row>
    <row r="38" spans="1:22" customHeight="1" ht="19.5">
      <c r="A38" s="91" t="s">
        <v>75</v>
      </c>
      <c r="B38" s="16" t="s">
        <v>15</v>
      </c>
      <c r="C38" s="24">
        <f>SUM(C14,C17,C20,C23,C26,C29,C32,C35)</f>
        <v>0</v>
      </c>
      <c r="D38" s="24">
        <f>SUM(D14,D17,D20,D23,D26,D29,D32,D35)</f>
        <v>0</v>
      </c>
      <c r="E38" s="24">
        <f>SUM(E14,E17,E20,E23,E26,E29,E32,E35)</f>
        <v>0</v>
      </c>
      <c r="F38" s="24">
        <f>SUM(F14,F17,F20,F23,F26,F29,F32,F35)</f>
        <v>0</v>
      </c>
      <c r="G38" s="24">
        <f>SUM(G14,G17,G20,G23,G26,G29,G32,G35)</f>
        <v>0</v>
      </c>
      <c r="H38" s="24">
        <f>SUM(H14,H17,H20,H23,H26,H29,H32,H35)</f>
        <v>0</v>
      </c>
      <c r="I38" s="24">
        <f>SUM(I14,I17,I20,I23,I26,I29,I32,I35)</f>
        <v>0</v>
      </c>
      <c r="J38" s="24">
        <f>SUM(J14,J17,J20,J23,J26,J29,J32,J35)</f>
        <v>0</v>
      </c>
      <c r="K38" s="24">
        <f>SUM(K14,K17,K20,K23,K26,K29,K32,K35)</f>
        <v>0</v>
      </c>
      <c r="L38" s="24">
        <f>SUM(L14,L17,L20,L23,L26,L29,L32,L35)</f>
        <v>0</v>
      </c>
      <c r="M38" s="24">
        <f>SUM(M14,M17,M20,M23,M26,M29,M32,M35)</f>
        <v>0</v>
      </c>
      <c r="N38" s="24">
        <f>SUM(N14,N17,N20,N23,N26,N29,N32,N35)</f>
        <v>0</v>
      </c>
      <c r="O38" s="24">
        <f>SUM(O14,O17,O20,O23,O26,O29,O32,O35)</f>
        <v>0</v>
      </c>
      <c r="P38" s="24">
        <f>SUM(P14,P17,P20,P23,P26,P29,P32,P35)</f>
        <v>0</v>
      </c>
      <c r="Q38" s="24">
        <f>SUM(Q14,Q17,Q20,Q23,Q26,Q29,Q32,Q35)</f>
        <v>0</v>
      </c>
      <c r="R38" s="24">
        <f>SUM(R14,R17,R20,R23,R26,R29,R32,R35)</f>
        <v>0</v>
      </c>
      <c r="S38" s="20"/>
      <c r="U38" s="32">
        <f>SUM(C38,D38,E38,F38)</f>
        <v>0</v>
      </c>
      <c r="V38" s="21">
        <f>SUM(G38,H38,I38,J38)</f>
        <v>0</v>
      </c>
    </row>
    <row r="39" spans="1:22" customHeight="1" ht="19.5">
      <c r="A39" s="92"/>
      <c r="B39" s="16" t="s">
        <v>16</v>
      </c>
      <c r="C39" s="24">
        <f>SUM(C15,C18,C21,C24,C27,C30,C33,C36)</f>
        <v>0</v>
      </c>
      <c r="D39" s="24">
        <f>SUM(D15,D18,D21,D24,D27,D30,D33,D36)</f>
        <v>0</v>
      </c>
      <c r="E39" s="24">
        <f>SUM(E15,E18,E21,E24,E27,E30,E33,E36)</f>
        <v>0</v>
      </c>
      <c r="F39" s="24">
        <f>SUM(F15,F18,F21,F24,F27,F30,F33,F36)</f>
        <v>0</v>
      </c>
      <c r="G39" s="24">
        <f>SUM(G15,G18,G21,G24,G27,G30,G33,G36)</f>
        <v>0</v>
      </c>
      <c r="H39" s="24">
        <f>SUM(H15,H18,H21,H24,H27,H30,H33,H36)</f>
        <v>0</v>
      </c>
      <c r="I39" s="24">
        <f>SUM(I15,I18,I21,I24,I27,I30,I33,I36)</f>
        <v>0</v>
      </c>
      <c r="J39" s="24">
        <f>SUM(J15,J18,J21,J24,J27,J30,J33,J36)</f>
        <v>0</v>
      </c>
      <c r="K39" s="24">
        <f>SUM(K15,K18,K21,K24,K27,K30,K33,K36)</f>
        <v>0</v>
      </c>
      <c r="L39" s="24">
        <f>SUM(L15,L18,L21,L24,L27,L30,L33,L36)</f>
        <v>0</v>
      </c>
      <c r="M39" s="24">
        <f>SUM(M15,M18,M21,M24,M27,M30,M33,M36)</f>
        <v>0</v>
      </c>
      <c r="N39" s="24">
        <f>SUM(N15,N18,N21,N24,N27,N30,N33,N36)</f>
        <v>0</v>
      </c>
      <c r="O39" s="24">
        <f>SUM(O15,O18,O21,O24,O27,O30,O33,O36)</f>
        <v>0</v>
      </c>
      <c r="P39" s="24">
        <f>SUM(P15,P18,P21,P24,P27,P30,P33,P36)</f>
        <v>0</v>
      </c>
      <c r="Q39" s="24">
        <f>SUM(Q15,Q18,Q21,Q24,Q27,Q30,Q33,Q36)</f>
        <v>0</v>
      </c>
      <c r="R39" s="24">
        <f>SUM(R15,R18,R21,R24,R27,R30,R33,R36)</f>
        <v>0</v>
      </c>
      <c r="S39" s="20"/>
      <c r="U39" s="32">
        <f>SUM(C39,D39,E39,F39)</f>
        <v>0</v>
      </c>
      <c r="V39" s="21">
        <f>SUM(G39,H39,I39,J39)</f>
        <v>0</v>
      </c>
    </row>
    <row r="40" spans="1:22" customHeight="1" ht="19.5">
      <c r="A40" s="93"/>
      <c r="B40" s="16" t="s">
        <v>25</v>
      </c>
      <c r="C40" s="24">
        <f>SUM(C16,C19,C22,C25,C28,C31,C34,C37)</f>
        <v>0</v>
      </c>
      <c r="D40" s="24">
        <f>SUM(D16,D19,D22,D25,D28,D31,D34,D37)</f>
        <v>0</v>
      </c>
      <c r="E40" s="24">
        <f>SUM(E16,E19,E22,E25,E28,E31,E34,E37)</f>
        <v>0</v>
      </c>
      <c r="F40" s="24">
        <f>SUM(F16,F19,F22,F25,F28,F31,F34,F37)</f>
        <v>0</v>
      </c>
      <c r="G40" s="24">
        <f>SUM(G16,G19,G22,G25,G28,G31,G34,G37)</f>
        <v>0</v>
      </c>
      <c r="H40" s="24">
        <f>SUM(H16,H19,H22,H25,H28,H31,H34,H37)</f>
        <v>0</v>
      </c>
      <c r="I40" s="24">
        <f>SUM(I16,I19,I22,I25,I28,I31,I34,I37)</f>
        <v>0</v>
      </c>
      <c r="J40" s="24">
        <f>SUM(J16,J19,J22,J25,J28,J31,J34,J37)</f>
        <v>0</v>
      </c>
      <c r="K40" s="24">
        <f>SUM(K16,K19,K22,K25,K28,K31,K34,K37)</f>
        <v>0</v>
      </c>
      <c r="L40" s="24">
        <f>SUM(L16,L19,L22,L25,L28,L31,L34,L37)</f>
        <v>0</v>
      </c>
      <c r="M40" s="24">
        <f>SUM(M16,M19,M22,M25,M28,M31,M34,M37)</f>
        <v>0</v>
      </c>
      <c r="N40" s="24">
        <f>SUM(N16,N19,N22,N25,N28,N31,N34,N37)</f>
        <v>0</v>
      </c>
      <c r="O40" s="24">
        <f>SUM(O16,O19,O22,O25,O28,O31,O34,O37)</f>
        <v>0</v>
      </c>
      <c r="P40" s="24">
        <f>SUM(P16,P19,P22,P25,P28,P31,P34,P37)</f>
        <v>0</v>
      </c>
      <c r="Q40" s="24">
        <f>SUM(Q16,Q19,Q22,Q25,Q28,Q31,Q34,Q37)</f>
        <v>0</v>
      </c>
      <c r="R40" s="24">
        <f>SUM(R16,R19,R22,R25,R28,R31,R34,R37)</f>
        <v>0</v>
      </c>
      <c r="S40" s="20"/>
      <c r="U40" s="32">
        <f>SUM(C40,D40,E40,F40)</f>
        <v>0</v>
      </c>
      <c r="V40" s="21">
        <f>SUM(G40,H40,I40,J40)</f>
        <v>0</v>
      </c>
    </row>
    <row r="42" spans="1:22">
      <c r="A42" s="90" t="s">
        <v>76</v>
      </c>
      <c r="B42" s="90"/>
      <c r="C42" s="90"/>
      <c r="D42" s="90"/>
      <c r="E42" s="90"/>
      <c r="F42" s="90"/>
      <c r="G42" s="90"/>
      <c r="H42" s="90"/>
      <c r="I42" s="90"/>
      <c r="J42" s="90"/>
      <c r="K42" s="13" t="s">
        <v>77</v>
      </c>
    </row>
    <row r="43" spans="1:22">
      <c r="A43" s="95"/>
      <c r="B43" s="95"/>
      <c r="C43" s="95"/>
      <c r="D43" s="95"/>
      <c r="E43" s="95"/>
      <c r="F43" s="95"/>
      <c r="G43" s="95"/>
      <c r="H43" s="95"/>
      <c r="I43" s="95"/>
      <c r="J43" s="95"/>
      <c r="K43" s="14"/>
    </row>
    <row r="44" spans="1:22">
      <c r="A44" s="94" t="s">
        <v>78</v>
      </c>
      <c r="B44" s="94"/>
      <c r="C44" s="94"/>
      <c r="D44" s="94"/>
      <c r="E44" s="94"/>
      <c r="F44" s="94"/>
      <c r="G44" s="94"/>
      <c r="H44" s="94"/>
      <c r="I44" s="94"/>
      <c r="J44" s="94"/>
      <c r="K44" s="94" t="s">
        <v>78</v>
      </c>
      <c r="L44" s="94"/>
      <c r="M44" s="94"/>
      <c r="N44" s="94"/>
      <c r="O44" s="94"/>
      <c r="P44" s="94"/>
      <c r="Q44" s="94"/>
      <c r="R44" s="94"/>
      <c r="S44" s="25"/>
      <c r="T44" s="25"/>
      <c r="U44" s="25"/>
      <c r="V44" s="25"/>
    </row>
    <row r="45" spans="1:22">
      <c r="A45" s="90" t="s">
        <v>79</v>
      </c>
      <c r="B45" s="90"/>
      <c r="C45" s="90"/>
      <c r="D45" s="90"/>
      <c r="E45" s="90"/>
      <c r="F45" s="90"/>
      <c r="G45" s="90"/>
      <c r="H45" s="90"/>
      <c r="I45" s="90"/>
      <c r="J45" s="90"/>
      <c r="K45" s="14" t="s">
        <v>80</v>
      </c>
    </row>
    <row r="47" spans="1:22">
      <c r="A47" s="90" t="s">
        <v>81</v>
      </c>
      <c r="B47" s="90"/>
      <c r="C47" s="90"/>
      <c r="D47" s="90"/>
      <c r="E47" s="90"/>
      <c r="F47" s="90"/>
      <c r="G47" s="90"/>
      <c r="H47" s="90"/>
      <c r="I47" s="90"/>
      <c r="J47" s="90"/>
      <c r="K47" s="90"/>
      <c r="L47" s="90"/>
      <c r="M47" s="90"/>
      <c r="N47" s="90"/>
      <c r="O47" s="90"/>
      <c r="P47" s="90"/>
      <c r="Q47" s="90"/>
      <c r="R47" s="90"/>
      <c r="S47" s="90"/>
    </row>
  </sheetData>
  <mergeCells>
    <mergeCell ref="A2:T2"/>
    <mergeCell ref="A3:T3"/>
    <mergeCell ref="A5:T5"/>
    <mergeCell ref="U12:V12"/>
    <mergeCell ref="A35:A37"/>
    <mergeCell ref="A17:A19"/>
    <mergeCell ref="A20:A22"/>
    <mergeCell ref="A23:A25"/>
    <mergeCell ref="A26:A28"/>
    <mergeCell ref="A29:A31"/>
    <mergeCell ref="A32:A34"/>
    <mergeCell ref="A14:A16"/>
    <mergeCell ref="K12:P12"/>
    <mergeCell ref="D12:J12"/>
    <mergeCell ref="A6:G6"/>
    <mergeCell ref="A7:G7"/>
    <mergeCell ref="A8:G8"/>
    <mergeCell ref="A9:G9"/>
    <mergeCell ref="A10:G10"/>
    <mergeCell ref="A11:G11"/>
    <mergeCell ref="A47:S47"/>
    <mergeCell ref="A38:A40"/>
    <mergeCell ref="K44:R44"/>
    <mergeCell ref="A45:J45"/>
    <mergeCell ref="A43:J43"/>
    <mergeCell ref="A42:J42"/>
    <mergeCell ref="A44:J44"/>
  </mergeCells>
  <printOptions gridLines="false" gridLinesSet="true"/>
  <pageMargins left="0.7" right="0.7" top="0.75" bottom="0.75" header="0.3" footer="0.3"/>
  <pageSetup paperSize="14" orientation="landscape" scale="5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43"/>
  <sheetViews>
    <sheetView tabSelected="0" workbookViewId="0" zoomScale="70" zoomScaleNormal="70" showGridLines="true" showRowColHeaders="1">
      <selection activeCell="J39" sqref="J39"/>
    </sheetView>
  </sheetViews>
  <sheetFormatPr defaultRowHeight="14.4" outlineLevelRow="0" outlineLevelCol="0"/>
  <cols>
    <col min="1" max="1" width="13.7265625" customWidth="true" style="0"/>
    <col min="2" max="2" width="13.7265625" customWidth="true" style="0"/>
    <col min="3" max="3" width="13.7265625" customWidth="true" style="0"/>
    <col min="4" max="4" width="13.7265625" customWidth="true" style="0"/>
    <col min="5" max="5" width="13.7265625" customWidth="true" style="0"/>
    <col min="6" max="6" width="13.7265625" customWidth="true" style="0"/>
    <col min="7" max="7" width="13.7265625" customWidth="true" style="0"/>
    <col min="8" max="8" width="13.7265625" customWidth="true" style="0"/>
    <col min="9" max="9" width="13.7265625" customWidth="true" style="0"/>
    <col min="10" max="10" width="13.7265625" customWidth="true" style="0"/>
  </cols>
  <sheetData>
    <row r="1" spans="1:14">
      <c r="A1" s="34" t="s">
        <v>82</v>
      </c>
      <c r="B1" s="34"/>
      <c r="C1" s="34"/>
      <c r="D1" s="34"/>
      <c r="E1" s="34"/>
      <c r="F1" s="34"/>
      <c r="G1" s="34"/>
      <c r="H1" s="34"/>
      <c r="I1" s="34"/>
      <c r="J1" s="34"/>
    </row>
    <row r="2" spans="1:14">
      <c r="A2" s="34" t="s">
        <v>83</v>
      </c>
      <c r="B2" s="34"/>
      <c r="C2" s="34"/>
      <c r="D2" s="34"/>
      <c r="E2" s="34"/>
      <c r="F2" s="34"/>
      <c r="G2" s="34"/>
      <c r="H2" s="34"/>
      <c r="I2" s="34"/>
      <c r="J2" s="34"/>
    </row>
    <row r="3" spans="1:14">
      <c r="A3" s="34" t="s">
        <v>84</v>
      </c>
      <c r="B3" s="34"/>
      <c r="C3" s="34"/>
      <c r="D3" s="34"/>
      <c r="E3" s="34"/>
      <c r="F3" s="34"/>
      <c r="G3" s="34"/>
      <c r="H3" s="34"/>
      <c r="I3" s="34"/>
      <c r="J3" s="34"/>
    </row>
    <row r="4" spans="1:14">
      <c r="A4" s="34" t="s">
        <v>85</v>
      </c>
      <c r="B4" s="34"/>
      <c r="C4" s="34"/>
      <c r="D4" s="34"/>
      <c r="E4" s="34"/>
      <c r="F4" s="34"/>
      <c r="G4" s="34"/>
      <c r="H4" s="34"/>
      <c r="I4" s="34"/>
      <c r="J4" s="34"/>
    </row>
    <row r="5" spans="1:14">
      <c r="A5" s="34" t="s">
        <v>86</v>
      </c>
      <c r="B5" s="34"/>
      <c r="C5" s="34"/>
      <c r="D5" s="34"/>
      <c r="E5" s="34"/>
      <c r="F5" s="34"/>
      <c r="G5" s="34"/>
      <c r="H5" s="34"/>
      <c r="I5" s="34"/>
      <c r="J5" s="34"/>
    </row>
    <row r="6" spans="1:14">
      <c r="A6" s="34" t="s">
        <v>87</v>
      </c>
      <c r="B6" s="34"/>
      <c r="C6" s="34"/>
      <c r="D6" s="34"/>
      <c r="E6" s="34"/>
      <c r="F6" s="34"/>
      <c r="G6" s="34"/>
      <c r="H6" s="34"/>
      <c r="I6" s="34"/>
      <c r="J6" s="34"/>
    </row>
    <row r="7" spans="1:14">
      <c r="A7" s="34" t="s">
        <v>88</v>
      </c>
      <c r="B7" s="34"/>
      <c r="C7" s="34"/>
      <c r="D7" s="34"/>
      <c r="E7" s="34"/>
      <c r="F7" s="34"/>
      <c r="G7" s="34"/>
      <c r="H7" s="34"/>
      <c r="I7" s="34"/>
      <c r="J7" s="34"/>
    </row>
    <row r="8" spans="1:14">
      <c r="A8" s="34"/>
      <c r="B8" s="34"/>
      <c r="C8" s="34"/>
      <c r="D8" s="34"/>
      <c r="E8" s="34"/>
      <c r="F8" s="34"/>
      <c r="G8" s="34"/>
      <c r="H8" s="34"/>
      <c r="I8" s="34"/>
      <c r="J8" s="34"/>
    </row>
    <row r="9" spans="1:14">
      <c r="A9" s="34"/>
      <c r="B9" s="34"/>
      <c r="C9" s="34"/>
      <c r="D9" s="34"/>
      <c r="E9" s="34"/>
      <c r="F9" s="34"/>
      <c r="G9" s="34"/>
      <c r="H9" s="34"/>
      <c r="I9" s="34"/>
      <c r="J9" s="34"/>
    </row>
    <row r="10" spans="1:14">
      <c r="A10" s="106" t="s">
        <v>89</v>
      </c>
      <c r="B10" s="107"/>
      <c r="C10" s="107"/>
      <c r="D10" s="107"/>
      <c r="E10" s="107"/>
      <c r="F10" s="107"/>
      <c r="G10" s="107"/>
      <c r="H10" s="107"/>
      <c r="I10" s="107"/>
      <c r="J10" s="108"/>
    </row>
    <row r="11" spans="1:14">
      <c r="A11" s="109" t="s">
        <v>90</v>
      </c>
      <c r="B11" s="108"/>
      <c r="C11" s="110" t="s">
        <v>91</v>
      </c>
      <c r="D11" s="107"/>
      <c r="E11" s="107"/>
      <c r="F11" s="107"/>
      <c r="G11" s="107"/>
      <c r="H11" s="107"/>
      <c r="I11" s="107"/>
      <c r="J11" s="108"/>
    </row>
    <row r="12" spans="1:14" customHeight="1" ht="28">
      <c r="A12" s="35" t="s">
        <v>4</v>
      </c>
      <c r="B12" s="35" t="s">
        <v>5</v>
      </c>
      <c r="C12" s="36" t="s">
        <v>6</v>
      </c>
      <c r="D12" s="36" t="s">
        <v>7</v>
      </c>
      <c r="E12" s="36" t="s">
        <v>12</v>
      </c>
      <c r="F12" s="36" t="s">
        <v>92</v>
      </c>
      <c r="G12" s="37" t="s">
        <v>10</v>
      </c>
      <c r="H12" s="37" t="s">
        <v>11</v>
      </c>
      <c r="I12" s="37" t="s">
        <v>8</v>
      </c>
      <c r="J12" s="37" t="s">
        <v>13</v>
      </c>
    </row>
    <row r="13" spans="1:14">
      <c r="A13" s="103" t="s">
        <v>93</v>
      </c>
      <c r="B13" s="38" t="s">
        <v>15</v>
      </c>
      <c r="C13" s="39">
        <f>_xlfn.COUNTIFS(#REF!,"*k*",#REF!,"*m*",#REF!, "*severely*")</f>
        <v>0</v>
      </c>
      <c r="D13" s="39">
        <f>_xlfn.COUNTIFS(#REF!,"*k*",#REF!,"*m*",#REF!, "wasted")</f>
        <v>0</v>
      </c>
      <c r="E13" s="39">
        <f>_xlfn.COUNTIFS(#REF!,"*k*",#REF!,"*m*",#REF!, "*normal*")</f>
        <v>0</v>
      </c>
      <c r="F13" s="39">
        <f>_xlfn.COUNTIFS(#REF!,"*k*",#REF!,"*m*",#REF!, "*overweight*")</f>
        <v>0</v>
      </c>
      <c r="G13" s="40">
        <f>_xlfn.COUNTIFS(#REF!, "m",#REF!, "*k*",#REF!, "*severely*")</f>
        <v>0</v>
      </c>
      <c r="H13" s="40">
        <f>_xlfn.COUNTIFS(#REF!, "m",#REF!, "*k*",#REF!, "stunted")</f>
        <v>0</v>
      </c>
      <c r="I13" s="40">
        <f>_xlfn.COUNTIFS(#REF!, "m",#REF!, "*k*",#REF!, "*normal*")</f>
        <v>0</v>
      </c>
      <c r="J13" s="40">
        <f>_xlfn.COUNTIFS(#REF!, "m",#REF!, "*k*",#REF!, "*tall*")</f>
        <v>0</v>
      </c>
    </row>
    <row r="14" spans="1:14">
      <c r="A14" s="104"/>
      <c r="B14" s="38" t="s">
        <v>16</v>
      </c>
      <c r="C14" s="39">
        <f>_xlfn.COUNTIFS(#REF!,"*k*",#REF!,"*f*",#REF!, "*severely*")</f>
        <v>0</v>
      </c>
      <c r="D14" s="39">
        <f>_xlfn.COUNTIFS(#REF!,"*k*",#REF!,"*f*",#REF!, "wasted")</f>
        <v>0</v>
      </c>
      <c r="E14" s="39">
        <f>_xlfn.COUNTIFS(#REF!,"*k*",#REF!,"*f*",#REF!, "*normal*")</f>
        <v>0</v>
      </c>
      <c r="F14" s="39">
        <f>_xlfn.COUNTIFS(#REF!,"*k*",#REF!,"*f*",#REF!, "*overweight*")</f>
        <v>0</v>
      </c>
      <c r="G14" s="40">
        <f>_xlfn.COUNTIFS(#REF!, "f",#REF!, "*k*",#REF!, "*severely*")</f>
        <v>0</v>
      </c>
      <c r="H14" s="40">
        <f>_xlfn.COUNTIFS(#REF!, "f",#REF!, "*k*",#REF!, "stunted")</f>
        <v>0</v>
      </c>
      <c r="I14" s="40">
        <f>_xlfn.COUNTIFS(#REF!, "f",#REF!, "*k*",#REF!, "*normal*")</f>
        <v>0</v>
      </c>
      <c r="J14" s="40">
        <f>_xlfn.COUNTIFS(#REF!, "f",#REF!, "*k*",#REF!, "*tall*")</f>
        <v>0</v>
      </c>
    </row>
    <row r="15" spans="1:14">
      <c r="A15" s="105"/>
      <c r="B15" s="41" t="s">
        <v>25</v>
      </c>
      <c r="C15" s="42">
        <f>SUM(C13:C14)</f>
        <v>0</v>
      </c>
      <c r="D15" s="42">
        <f>SUM(D13:D14)</f>
        <v>0</v>
      </c>
      <c r="E15" s="42">
        <f>SUM(E13:E14)</f>
        <v>0</v>
      </c>
      <c r="F15" s="42">
        <f>SUM(F13:F14)</f>
        <v>0</v>
      </c>
      <c r="G15" s="43">
        <f>SUM(G13:G14)</f>
        <v>0</v>
      </c>
      <c r="H15" s="43">
        <f>SUM(H13:H14)</f>
        <v>0</v>
      </c>
      <c r="I15" s="43">
        <f>SUM(I13:I14)</f>
        <v>0</v>
      </c>
      <c r="J15" s="43">
        <f>SUM(J13:J14)</f>
        <v>0</v>
      </c>
    </row>
    <row r="16" spans="1:14">
      <c r="A16" s="103" t="s">
        <v>94</v>
      </c>
      <c r="B16" s="38" t="s">
        <v>15</v>
      </c>
      <c r="C16" s="39">
        <f>_xlfn.COUNTIFS(#REF!,"*1*",#REF!, "*m*",#REF!, "*severely*")</f>
        <v>0</v>
      </c>
      <c r="D16" s="39">
        <f>_xlfn.COUNTIFS(#REF!,"*1*",#REF!,"*m*",#REF!, "wasted")</f>
        <v>0</v>
      </c>
      <c r="E16" s="39">
        <f>_xlfn.COUNTIFS(#REF!,"*1*",#REF!,"*m*",#REF!, "*normal*")</f>
        <v>0</v>
      </c>
      <c r="F16" s="39">
        <f>_xlfn.COUNTIFS(#REF!,"*1*",#REF!,"*m*",#REF!, "*overweight*")</f>
        <v>0</v>
      </c>
      <c r="G16" s="40">
        <f>_xlfn.COUNTIFS(#REF!, "m",#REF!, "*1*",#REF!, "*severely*")</f>
        <v>0</v>
      </c>
      <c r="H16" s="40">
        <f>_xlfn.COUNTIFS(#REF!, "m",#REF!, "*1*",#REF!, "stunted")</f>
        <v>0</v>
      </c>
      <c r="I16" s="40">
        <f>_xlfn.COUNTIFS(#REF!, "m",#REF!, "*1*",#REF!, "*normal*")</f>
        <v>0</v>
      </c>
      <c r="J16" s="40">
        <f>_xlfn.COUNTIFS(#REF!, "m",#REF!, "*1*",#REF!, "*tall*")</f>
        <v>0</v>
      </c>
    </row>
    <row r="17" spans="1:14">
      <c r="A17" s="104"/>
      <c r="B17" s="38" t="s">
        <v>16</v>
      </c>
      <c r="C17" s="39">
        <f>_xlfn.COUNTIFS(#REF!,"*1*",#REF!,"*f*",#REF!, "*severely*")</f>
        <v>0</v>
      </c>
      <c r="D17" s="39">
        <f>_xlfn.COUNTIFS(#REF!,"*1*",#REF!,"*f*",#REF!, "wasted")</f>
        <v>0</v>
      </c>
      <c r="E17" s="39">
        <f>_xlfn.COUNTIFS(#REF!,"*1*",#REF!,"*f*",#REF!, "*normal*")</f>
        <v>0</v>
      </c>
      <c r="F17" s="39">
        <f>_xlfn.COUNTIFS(#REF!,"*1*",#REF!,"*f*",#REF!, "*overweight*")</f>
        <v>0</v>
      </c>
      <c r="G17" s="40">
        <f>_xlfn.COUNTIFS(#REF!, "f",#REF!, "*1*",#REF!, "*severely*")</f>
        <v>0</v>
      </c>
      <c r="H17" s="40">
        <f>_xlfn.COUNTIFS(#REF!, "f",#REF!, "*1*",#REF!, "stunted")</f>
        <v>0</v>
      </c>
      <c r="I17" s="40">
        <f>_xlfn.COUNTIFS(#REF!, "f",#REF!, "*1*",#REF!, "*normal*")</f>
        <v>0</v>
      </c>
      <c r="J17" s="40">
        <f>_xlfn.COUNTIFS(#REF!, "f",#REF!, "*1*",#REF!, "*tall*")</f>
        <v>0</v>
      </c>
    </row>
    <row r="18" spans="1:14">
      <c r="A18" s="105"/>
      <c r="B18" s="41" t="s">
        <v>25</v>
      </c>
      <c r="C18" s="42">
        <f>SUM(C16:C17)</f>
        <v>0</v>
      </c>
      <c r="D18" s="42">
        <f>SUM(D16:D17)</f>
        <v>0</v>
      </c>
      <c r="E18" s="42">
        <f>SUM(E16:E17)</f>
        <v>0</v>
      </c>
      <c r="F18" s="42">
        <f>SUM(F16:F17)</f>
        <v>0</v>
      </c>
      <c r="G18" s="43">
        <f>SUM(G16:G17)</f>
        <v>0</v>
      </c>
      <c r="H18" s="43">
        <f>SUM(H16:H17)</f>
        <v>0</v>
      </c>
      <c r="I18" s="43">
        <f>SUM(I16:I17)</f>
        <v>0</v>
      </c>
      <c r="J18" s="43">
        <f>SUM(J16:J17)</f>
        <v>0</v>
      </c>
    </row>
    <row r="19" spans="1:14">
      <c r="A19" s="103" t="s">
        <v>19</v>
      </c>
      <c r="B19" s="38" t="s">
        <v>15</v>
      </c>
      <c r="C19" s="39">
        <f>_xlfn.COUNTIFS(#REF!,"*2*",#REF!,"*m*",#REF!, "*severely*")</f>
        <v>0</v>
      </c>
      <c r="D19" s="39">
        <f>_xlfn.COUNTIFS(#REF!,"*2*",#REF!,"*m*",#REF!, "wasted")</f>
        <v>0</v>
      </c>
      <c r="E19" s="39">
        <f>_xlfn.COUNTIFS(#REF!,"*2*",#REF!,"*m*",#REF!, "*normal*")</f>
        <v>0</v>
      </c>
      <c r="F19" s="39">
        <f>_xlfn.COUNTIFS(#REF!,"*2*",#REF!,"*m*",#REF!, "*overweight*")</f>
        <v>0</v>
      </c>
      <c r="G19" s="40">
        <f>_xlfn.COUNTIFS(#REF!, "m",#REF!, "*2*",#REF!, "*severely*")</f>
        <v>0</v>
      </c>
      <c r="H19" s="40">
        <f>_xlfn.COUNTIFS(#REF!, "m",#REF!, "*2*",#REF!, "stunted")</f>
        <v>0</v>
      </c>
      <c r="I19" s="40">
        <f>_xlfn.COUNTIFS(#REF!, "m",#REF!, "*2*",#REF!, "*normal*")</f>
        <v>0</v>
      </c>
      <c r="J19" s="40">
        <f>_xlfn.COUNTIFS(#REF!, "m",#REF!, "*2*",#REF!, "*tall*")</f>
        <v>0</v>
      </c>
    </row>
    <row r="20" spans="1:14">
      <c r="A20" s="104"/>
      <c r="B20" s="38" t="s">
        <v>16</v>
      </c>
      <c r="C20" s="39">
        <f>_xlfn.COUNTIFS(#REF!,"*2*",#REF!,"*f*",#REF!, "*severely*")</f>
        <v>0</v>
      </c>
      <c r="D20" s="39">
        <f>_xlfn.COUNTIFS(#REF!,"*2*",#REF!,"*f*",#REF!, "wasted")</f>
        <v>0</v>
      </c>
      <c r="E20" s="39">
        <f>_xlfn.COUNTIFS(#REF!,"*2*",#REF!,"*f*",#REF!, "*normal*")</f>
        <v>0</v>
      </c>
      <c r="F20" s="39">
        <f>_xlfn.COUNTIFS(#REF!,"*2*",#REF!,"*f*",#REF!, "*overweight*")</f>
        <v>0</v>
      </c>
      <c r="G20" s="40">
        <f>_xlfn.COUNTIFS(#REF!, "f",#REF!, "*2*",#REF!, "*severely*")</f>
        <v>0</v>
      </c>
      <c r="H20" s="40">
        <f>_xlfn.COUNTIFS(#REF!, "f",#REF!, "*2*",#REF!, "stunted")</f>
        <v>0</v>
      </c>
      <c r="I20" s="40">
        <f>_xlfn.COUNTIFS(#REF!, "f",#REF!, "*2*",#REF!, "*normal*")</f>
        <v>0</v>
      </c>
      <c r="J20" s="40">
        <f>_xlfn.COUNTIFS(#REF!, "f",#REF!, "*2*",#REF!, "*tall*")</f>
        <v>0</v>
      </c>
    </row>
    <row r="21" spans="1:14">
      <c r="A21" s="105"/>
      <c r="B21" s="41" t="s">
        <v>25</v>
      </c>
      <c r="C21" s="42">
        <f>SUM(C19:C20)</f>
        <v>0</v>
      </c>
      <c r="D21" s="42">
        <f>SUM(D19:D20)</f>
        <v>0</v>
      </c>
      <c r="E21" s="42">
        <f>SUM(E19:E20)</f>
        <v>0</v>
      </c>
      <c r="F21" s="42">
        <f>SUM(F19:F20)</f>
        <v>0</v>
      </c>
      <c r="G21" s="43">
        <f>SUM(G19:G20)</f>
        <v>0</v>
      </c>
      <c r="H21" s="43">
        <f>SUM(H19:H20)</f>
        <v>0</v>
      </c>
      <c r="I21" s="43">
        <f>SUM(I19:I20)</f>
        <v>0</v>
      </c>
      <c r="J21" s="43">
        <f>SUM(J19:J20)</f>
        <v>0</v>
      </c>
    </row>
    <row r="22" spans="1:14">
      <c r="A22" s="103" t="s">
        <v>20</v>
      </c>
      <c r="B22" s="38" t="s">
        <v>15</v>
      </c>
      <c r="C22" s="39">
        <f>_xlfn.COUNTIFS(#REF!,"*3*",#REF!,"*m*",#REF!, "*severely*")</f>
        <v>0</v>
      </c>
      <c r="D22" s="39">
        <f>_xlfn.COUNTIFS(#REF!,"*3*",#REF!,"*m*",#REF!, "wasted")</f>
        <v>0</v>
      </c>
      <c r="E22" s="39">
        <f>_xlfn.COUNTIFS(#REF!,"*3*",#REF!,"*m*",#REF!, "*normal*")</f>
        <v>0</v>
      </c>
      <c r="F22" s="39">
        <f>_xlfn.COUNTIFS(#REF!,"*3*",#REF!,"*m*",#REF!, "*overweight*")</f>
        <v>0</v>
      </c>
      <c r="G22" s="40">
        <f>_xlfn.COUNTIFS(#REF!, "m",#REF!, "*3*",#REF!, "*severely*")</f>
        <v>0</v>
      </c>
      <c r="H22" s="40">
        <f>_xlfn.COUNTIFS(#REF!, "m",#REF!, "*3*",#REF!, "stunted")</f>
        <v>0</v>
      </c>
      <c r="I22" s="40">
        <f>_xlfn.COUNTIFS(#REF!, "m",#REF!, "*3*",#REF!, "*normal*")</f>
        <v>0</v>
      </c>
      <c r="J22" s="40">
        <f>_xlfn.COUNTIFS(#REF!, "m",#REF!, "*3*",#REF!, "*tall*")</f>
        <v>0</v>
      </c>
    </row>
    <row r="23" spans="1:14">
      <c r="A23" s="104"/>
      <c r="B23" s="38" t="s">
        <v>16</v>
      </c>
      <c r="C23" s="39">
        <f>_xlfn.COUNTIFS(#REF!,"*3*",#REF!,"*f*",#REF!, "*severely*")</f>
        <v>0</v>
      </c>
      <c r="D23" s="39">
        <f>_xlfn.COUNTIFS(#REF!,"*3*",#REF!,"*f*",#REF!, "wasted")</f>
        <v>0</v>
      </c>
      <c r="E23" s="39">
        <f>_xlfn.COUNTIFS(#REF!,"*3*",#REF!,"*f*",#REF!, "*normal*")</f>
        <v>0</v>
      </c>
      <c r="F23" s="39">
        <f>_xlfn.COUNTIFS(#REF!,"*3*",#REF!,"*f*",#REF!, "*overweight*")</f>
        <v>0</v>
      </c>
      <c r="G23" s="40">
        <f>_xlfn.COUNTIFS(#REF!, "f",#REF!, "*3*",#REF!, "*severely*")</f>
        <v>0</v>
      </c>
      <c r="H23" s="40">
        <f>_xlfn.COUNTIFS(#REF!, "f",#REF!, "*3*",#REF!, "stunted")</f>
        <v>0</v>
      </c>
      <c r="I23" s="40">
        <f>_xlfn.COUNTIFS(#REF!, "f",#REF!, "*3*",#REF!, "*normal*")</f>
        <v>0</v>
      </c>
      <c r="J23" s="40">
        <f>_xlfn.COUNTIFS(#REF!, "f",#REF!, "*3*",#REF!, "*tall*")</f>
        <v>0</v>
      </c>
    </row>
    <row r="24" spans="1:14">
      <c r="A24" s="105"/>
      <c r="B24" s="41" t="s">
        <v>25</v>
      </c>
      <c r="C24" s="42">
        <f>SUM(C22:C23)</f>
        <v>0</v>
      </c>
      <c r="D24" s="42">
        <f>SUM(D22:D23)</f>
        <v>0</v>
      </c>
      <c r="E24" s="42">
        <f>SUM(E22:E23)</f>
        <v>0</v>
      </c>
      <c r="F24" s="42">
        <f>SUM(F22:F23)</f>
        <v>0</v>
      </c>
      <c r="G24" s="43">
        <f>SUM(G22:G23)</f>
        <v>0</v>
      </c>
      <c r="H24" s="43">
        <f>SUM(H22:H23)</f>
        <v>0</v>
      </c>
      <c r="I24" s="43">
        <f>SUM(I22:I23)</f>
        <v>0</v>
      </c>
      <c r="J24" s="43">
        <f>SUM(J22:J23)</f>
        <v>0</v>
      </c>
    </row>
    <row r="25" spans="1:14">
      <c r="A25" s="103" t="s">
        <v>21</v>
      </c>
      <c r="B25" s="38" t="s">
        <v>15</v>
      </c>
      <c r="C25" s="39">
        <f>_xlfn.COUNTIFS(#REF!,"*4*",#REF!,"*m*",#REF!, "*severely*")</f>
        <v>0</v>
      </c>
      <c r="D25" s="39">
        <f>_xlfn.COUNTIFS(#REF!,"*4*",#REF!,"*m*",#REF!, "wasted")</f>
        <v>0</v>
      </c>
      <c r="E25" s="39">
        <f>_xlfn.COUNTIFS(#REF!,"*4*",#REF!,"*m*",#REF!, "*normal*")</f>
        <v>0</v>
      </c>
      <c r="F25" s="39">
        <f>_xlfn.COUNTIFS(#REF!,"*4*",#REF!,"*m*",#REF!, "*overweight*")</f>
        <v>0</v>
      </c>
      <c r="G25" s="40">
        <f>_xlfn.COUNTIFS(#REF!, "m",#REF!, "*4*",#REF!, "*severely*")</f>
        <v>0</v>
      </c>
      <c r="H25" s="40">
        <f>_xlfn.COUNTIFS(#REF!, "m",#REF!, "*4*",#REF!, "stunted")</f>
        <v>0</v>
      </c>
      <c r="I25" s="40">
        <f>_xlfn.COUNTIFS(#REF!, "m",#REF!, "*4*",#REF!, "*normal*")</f>
        <v>0</v>
      </c>
      <c r="J25" s="40">
        <f>_xlfn.COUNTIFS(#REF!, "m",#REF!, "*4*",#REF!, "*tall*")</f>
        <v>0</v>
      </c>
    </row>
    <row r="26" spans="1:14">
      <c r="A26" s="104"/>
      <c r="B26" s="38" t="s">
        <v>16</v>
      </c>
      <c r="C26" s="39">
        <f>_xlfn.COUNTIFS(#REF!,"*4*",#REF!,"*f*",#REF!, "*severely*")</f>
        <v>0</v>
      </c>
      <c r="D26" s="39">
        <f>_xlfn.COUNTIFS(#REF!,"*4*",#REF!,"*f*",#REF!, "wasted")</f>
        <v>0</v>
      </c>
      <c r="E26" s="39">
        <f>_xlfn.COUNTIFS(#REF!,"*4*",#REF!,"*f*",#REF!, "*normal*")</f>
        <v>0</v>
      </c>
      <c r="F26" s="39">
        <f>_xlfn.COUNTIFS(#REF!,"*4*",#REF!,"*f*",#REF!, "*overweight*")</f>
        <v>0</v>
      </c>
      <c r="G26" s="40">
        <f>_xlfn.COUNTIFS(#REF!, "f",#REF!, "*4*",#REF!, "*severely*")</f>
        <v>0</v>
      </c>
      <c r="H26" s="40">
        <f>_xlfn.COUNTIFS(#REF!, "f",#REF!, "*4*",#REF!, "stunted")</f>
        <v>0</v>
      </c>
      <c r="I26" s="40">
        <f>_xlfn.COUNTIFS(#REF!, "f",#REF!, "*4*",#REF!, "*normal*")</f>
        <v>0</v>
      </c>
      <c r="J26" s="40">
        <f>_xlfn.COUNTIFS(#REF!, "f",#REF!, "*4*",#REF!, "*tall*")</f>
        <v>0</v>
      </c>
    </row>
    <row r="27" spans="1:14">
      <c r="A27" s="105"/>
      <c r="B27" s="41" t="s">
        <v>25</v>
      </c>
      <c r="C27" s="42">
        <f>SUM(C25:C26)</f>
        <v>0</v>
      </c>
      <c r="D27" s="42">
        <f>SUM(D25:D26)</f>
        <v>0</v>
      </c>
      <c r="E27" s="42">
        <f>SUM(E25:E26)</f>
        <v>0</v>
      </c>
      <c r="F27" s="42">
        <f>SUM(F25:F26)</f>
        <v>0</v>
      </c>
      <c r="G27" s="43">
        <f>SUM(G25:G26)</f>
        <v>0</v>
      </c>
      <c r="H27" s="43">
        <f>SUM(H25:H26)</f>
        <v>0</v>
      </c>
      <c r="I27" s="43">
        <f>SUM(I25:I26)</f>
        <v>0</v>
      </c>
      <c r="J27" s="43">
        <f>SUM(J25:J26)</f>
        <v>0</v>
      </c>
    </row>
    <row r="28" spans="1:14">
      <c r="A28" s="103" t="s">
        <v>22</v>
      </c>
      <c r="B28" s="38" t="s">
        <v>15</v>
      </c>
      <c r="C28" s="39">
        <f>_xlfn.COUNTIFS(#REF!,"*5*",#REF!,"*m*",#REF!, "*severely*")</f>
        <v>0</v>
      </c>
      <c r="D28" s="39">
        <f>_xlfn.COUNTIFS(#REF!,"*5*",#REF!,"*m*",#REF!, "wasted")</f>
        <v>0</v>
      </c>
      <c r="E28" s="39">
        <f>_xlfn.COUNTIFS(#REF!,"*5*",#REF!,"*m*",#REF!, "*normal*")</f>
        <v>0</v>
      </c>
      <c r="F28" s="39">
        <f>_xlfn.COUNTIFS(#REF!,"*5*",#REF!,"*m*",#REF!, "*overweight*")</f>
        <v>0</v>
      </c>
      <c r="G28" s="40">
        <f>_xlfn.COUNTIFS(#REF!, "m",#REF!, "*5*",#REF!, "*severely*")</f>
        <v>0</v>
      </c>
      <c r="H28" s="40">
        <f>_xlfn.COUNTIFS(#REF!, "m",#REF!, "*5*",#REF!, "stunted")</f>
        <v>0</v>
      </c>
      <c r="I28" s="40">
        <f>_xlfn.COUNTIFS(#REF!, "m",#REF!, "*5*",#REF!, "*normal*")</f>
        <v>0</v>
      </c>
      <c r="J28" s="40">
        <f>_xlfn.COUNTIFS(#REF!, "m",#REF!, "*5*",#REF!, "*tall*")</f>
        <v>0</v>
      </c>
    </row>
    <row r="29" spans="1:14">
      <c r="A29" s="104"/>
      <c r="B29" s="38" t="s">
        <v>16</v>
      </c>
      <c r="C29" s="39">
        <f>_xlfn.COUNTIFS(#REF!,"*5*",#REF!,"*f*",#REF!, "*severely*")</f>
        <v>0</v>
      </c>
      <c r="D29" s="39">
        <f>_xlfn.COUNTIFS(#REF!,"*5*",#REF!,"*f*",#REF!, "wasted")</f>
        <v>0</v>
      </c>
      <c r="E29" s="39">
        <f>_xlfn.COUNTIFS(#REF!,"*5*",#REF!,"*f*",#REF!, "*normal*")</f>
        <v>0</v>
      </c>
      <c r="F29" s="39">
        <f>_xlfn.COUNTIFS(#REF!,"*5*",#REF!,"*f*",#REF!, "*overweight*")</f>
        <v>0</v>
      </c>
      <c r="G29" s="40">
        <f>_xlfn.COUNTIFS(#REF!, "f",#REF!, "*5*",#REF!, "*severely*")</f>
        <v>0</v>
      </c>
      <c r="H29" s="40">
        <f>_xlfn.COUNTIFS(#REF!, "f",#REF!, "*5*",#REF!, "stunted")</f>
        <v>0</v>
      </c>
      <c r="I29" s="40">
        <f>_xlfn.COUNTIFS(#REF!, "f",#REF!, "*5*",#REF!, "*normal*")</f>
        <v>0</v>
      </c>
      <c r="J29" s="40">
        <f>_xlfn.COUNTIFS(#REF!, "f",#REF!, "*5*",#REF!, "*tall*")</f>
        <v>0</v>
      </c>
    </row>
    <row r="30" spans="1:14">
      <c r="A30" s="105"/>
      <c r="B30" s="41" t="s">
        <v>25</v>
      </c>
      <c r="C30" s="42">
        <f>SUM(C28:C29)</f>
        <v>0</v>
      </c>
      <c r="D30" s="42">
        <f>SUM(D28:D29)</f>
        <v>0</v>
      </c>
      <c r="E30" s="42">
        <f>SUM(E28:E29)</f>
        <v>0</v>
      </c>
      <c r="F30" s="42">
        <f>SUM(F28:F29)</f>
        <v>0</v>
      </c>
      <c r="G30" s="43">
        <f>SUM(G28:G29)</f>
        <v>0</v>
      </c>
      <c r="H30" s="43">
        <f>SUM(H28:H29)</f>
        <v>0</v>
      </c>
      <c r="I30" s="43">
        <f>SUM(I28:I29)</f>
        <v>0</v>
      </c>
      <c r="J30" s="43">
        <f>SUM(J28:J29)</f>
        <v>0</v>
      </c>
    </row>
    <row r="31" spans="1:14">
      <c r="A31" s="103" t="s">
        <v>23</v>
      </c>
      <c r="B31" s="38" t="s">
        <v>15</v>
      </c>
      <c r="C31" s="39">
        <f>_xlfn.COUNTIFS(#REF!,"*6*",#REF!,"*m*",#REF!, "*severely*")</f>
        <v>0</v>
      </c>
      <c r="D31" s="39">
        <f>_xlfn.COUNTIFS(#REF!,"*6*",#REF!,"*m*",#REF!, "wasted")</f>
        <v>0</v>
      </c>
      <c r="E31" s="39">
        <f>_xlfn.COUNTIFS(#REF!,"*6*",#REF!,"*m*",#REF!, "*normal*")</f>
        <v>0</v>
      </c>
      <c r="F31" s="39">
        <f>_xlfn.COUNTIFS(#REF!,"*6*",#REF!,"*m*",#REF!, "*overweight*")</f>
        <v>0</v>
      </c>
      <c r="G31" s="40">
        <f>_xlfn.COUNTIFS(#REF!, "m",#REF!, "*6*",#REF!, "*severely*")</f>
        <v>0</v>
      </c>
      <c r="H31" s="40">
        <f>_xlfn.COUNTIFS(#REF!, "m",#REF!, "*6*",#REF!, "stunted")</f>
        <v>0</v>
      </c>
      <c r="I31" s="40">
        <f>_xlfn.COUNTIFS(#REF!, "m",#REF!, "*6*",#REF!, "*normal*")</f>
        <v>0</v>
      </c>
      <c r="J31" s="40">
        <f>_xlfn.COUNTIFS(#REF!, "m",#REF!, "*6*",#REF!, "*tall*")</f>
        <v>0</v>
      </c>
    </row>
    <row r="32" spans="1:14">
      <c r="A32" s="104"/>
      <c r="B32" s="38" t="s">
        <v>16</v>
      </c>
      <c r="C32" s="39">
        <f>_xlfn.COUNTIFS(#REF!,"*6*",#REF!,"*f*",#REF!, "*severely*")</f>
        <v>0</v>
      </c>
      <c r="D32" s="39">
        <f>_xlfn.COUNTIFS(#REF!,"*6*",#REF!,"*f*",#REF!, "wasted")</f>
        <v>0</v>
      </c>
      <c r="E32" s="39">
        <f>_xlfn.COUNTIFS(#REF!,"*6*",#REF!,"*f*",#REF!, "*normal*")</f>
        <v>0</v>
      </c>
      <c r="F32" s="39">
        <f>_xlfn.COUNTIFS(#REF!,"*6*",#REF!,"*f*",#REF!, "*overweight*")</f>
        <v>0</v>
      </c>
      <c r="G32" s="40">
        <f>_xlfn.COUNTIFS(#REF!, "f",#REF!, "*6*",#REF!, "*severely*")</f>
        <v>0</v>
      </c>
      <c r="H32" s="40">
        <f>_xlfn.COUNTIFS(#REF!, "f",#REF!, "*6*",#REF!, "stunted")</f>
        <v>0</v>
      </c>
      <c r="I32" s="40">
        <f>_xlfn.COUNTIFS(#REF!, "f",#REF!, "*6*",#REF!, "*normal*")</f>
        <v>0</v>
      </c>
      <c r="J32" s="40">
        <f>_xlfn.COUNTIFS(#REF!, "f",#REF!, "*6*",#REF!, "*tall*")</f>
        <v>0</v>
      </c>
    </row>
    <row r="33" spans="1:14">
      <c r="A33" s="105"/>
      <c r="B33" s="41" t="s">
        <v>25</v>
      </c>
      <c r="C33" s="42">
        <f>SUM(C31:C32)</f>
        <v>0</v>
      </c>
      <c r="D33" s="42">
        <f>SUM(D31:D32)</f>
        <v>0</v>
      </c>
      <c r="E33" s="42">
        <f>SUM(E31:E32)</f>
        <v>0</v>
      </c>
      <c r="F33" s="42">
        <f>SUM(F31:F32)</f>
        <v>0</v>
      </c>
      <c r="G33" s="43">
        <f>SUM(G31:G32)</f>
        <v>0</v>
      </c>
      <c r="H33" s="43">
        <f>SUM(H31:H32)</f>
        <v>0</v>
      </c>
      <c r="I33" s="43">
        <f>SUM(I31:I32)</f>
        <v>0</v>
      </c>
      <c r="J33" s="43">
        <f>SUM(J31:J32)</f>
        <v>0</v>
      </c>
    </row>
    <row r="34" spans="1:14">
      <c r="A34" s="103" t="s">
        <v>95</v>
      </c>
      <c r="B34" s="38" t="s">
        <v>15</v>
      </c>
      <c r="C34" s="39">
        <f>_xlfn.COUNTIFS(#REF!,"*non-graded*",#REF!,"*m*",#REF!, "*severely*")</f>
        <v>0</v>
      </c>
      <c r="D34" s="39">
        <f>_xlfn.COUNTIFS(#REF!,"*non-graded*",#REF!,"*m*",#REF!, "wasted")</f>
        <v>0</v>
      </c>
      <c r="E34" s="39">
        <f>_xlfn.COUNTIFS(#REF!,"*non-graded*",#REF!,"*m*",#REF!, "*normal*")</f>
        <v>0</v>
      </c>
      <c r="F34" s="39">
        <f>_xlfn.COUNTIFS(#REF!,"*non-graded*",#REF!,"*m*",#REF!, "*overweight*")</f>
        <v>0</v>
      </c>
      <c r="G34" s="40">
        <f>_xlfn.COUNTIFS(#REF!, "m",#REF!, "*on-graded*",#REF!, "*severely*")</f>
        <v>0</v>
      </c>
      <c r="H34" s="40">
        <f>_xlfn.COUNTIFS(#REF!, "m",#REF!, "*non-graded*",#REF!, "stunted")</f>
        <v>0</v>
      </c>
      <c r="I34" s="40">
        <f>_xlfn.COUNTIFS(#REF!, "m",#REF!, "*non-graded*",#REF!, "*normal*")</f>
        <v>0</v>
      </c>
      <c r="J34" s="40">
        <f>_xlfn.COUNTIFS(#REF!, "m",#REF!, "*non-graded*",#REF!, "*tall*")</f>
        <v>0</v>
      </c>
    </row>
    <row r="35" spans="1:14">
      <c r="A35" s="104"/>
      <c r="B35" s="38" t="s">
        <v>16</v>
      </c>
      <c r="C35" s="39">
        <f>_xlfn.COUNTIFS(#REF!,"*non-graded*",#REF!,"*f*",#REF!, "*severely*")</f>
        <v>0</v>
      </c>
      <c r="D35" s="39">
        <f>_xlfn.COUNTIFS(#REF!,"*non-graded*",#REF!,"*f*",#REF!, "wasted")</f>
        <v>0</v>
      </c>
      <c r="E35" s="39">
        <f>_xlfn.COUNTIFS(#REF!,"*non-graded*",#REF!,"*f*",#REF!, "*normal*")</f>
        <v>0</v>
      </c>
      <c r="F35" s="39">
        <f>_xlfn.COUNTIFS(#REF!,"*non-graded*",#REF!,"*f*",#REF!, "*overweight*")</f>
        <v>0</v>
      </c>
      <c r="G35" s="40">
        <f>_xlfn.COUNTIFS(#REF!, "f",#REF!, "*non-graded*",#REF!, "*severely*")</f>
        <v>0</v>
      </c>
      <c r="H35" s="40">
        <f>_xlfn.COUNTIFS(#REF!, "f",#REF!, "*non-graded*",#REF!, "stunted")</f>
        <v>0</v>
      </c>
      <c r="I35" s="40">
        <f>_xlfn.COUNTIFS(#REF!, "f",#REF!, "*non-graded*",#REF!, "*normal*")</f>
        <v>0</v>
      </c>
      <c r="J35" s="40">
        <f>_xlfn.COUNTIFS(#REF!, "f",#REF!, "*non-graded*",#REF!, "*tall*")</f>
        <v>0</v>
      </c>
    </row>
    <row r="36" spans="1:14">
      <c r="A36" s="105"/>
      <c r="B36" s="41" t="s">
        <v>25</v>
      </c>
      <c r="C36" s="42">
        <f>C34+C35</f>
        <v>0</v>
      </c>
      <c r="D36" s="42">
        <f>D34+D35</f>
        <v>0</v>
      </c>
      <c r="E36" s="42">
        <f>E34+E35</f>
        <v>0</v>
      </c>
      <c r="F36" s="42">
        <f>F34+F35</f>
        <v>0</v>
      </c>
      <c r="G36" s="43">
        <f>G34+G35</f>
        <v>0</v>
      </c>
      <c r="H36" s="43">
        <f>H34+H35</f>
        <v>0</v>
      </c>
      <c r="I36" s="43">
        <f>I34+I35</f>
        <v>0</v>
      </c>
      <c r="J36" s="43">
        <f>J34+J35</f>
        <v>0</v>
      </c>
    </row>
    <row r="37" spans="1:14">
      <c r="A37" s="103" t="s">
        <v>96</v>
      </c>
      <c r="B37" s="41" t="s">
        <v>15</v>
      </c>
      <c r="C37" s="42">
        <f>C13+C16+C19+C22+C25+C28+C31+C34</f>
        <v>0</v>
      </c>
      <c r="D37" s="42">
        <f>D13+D16+D19+D22+D25+D28+D31+D34</f>
        <v>0</v>
      </c>
      <c r="E37" s="42">
        <f>E13+E16+E19+E22+E25+E28+E31+E34</f>
        <v>0</v>
      </c>
      <c r="F37" s="42">
        <f>F13+F16+F19+F22+F25+F28+F31+F34</f>
        <v>0</v>
      </c>
      <c r="G37" s="43">
        <f>G13+G16+G19+G22+G25+G28+G31+G34</f>
        <v>0</v>
      </c>
      <c r="H37" s="43">
        <f>H13+H16+H19+H22+H25+H28+H31+H34</f>
        <v>0</v>
      </c>
      <c r="I37" s="43">
        <f>I13+I16+I19+I22+I25+I28+I31+I34</f>
        <v>0</v>
      </c>
      <c r="J37" s="43">
        <f>J13+J16+J19+J22+J25+J28+J31+J34</f>
        <v>0</v>
      </c>
    </row>
    <row r="38" spans="1:14">
      <c r="A38" s="112"/>
      <c r="B38" s="41" t="s">
        <v>16</v>
      </c>
      <c r="C38" s="42">
        <f>C14+C17+C20+C23+C26+C29+C32+C35</f>
        <v>0</v>
      </c>
      <c r="D38" s="42">
        <f>D14+D17+D20+D23+D26+D29+D32+D35</f>
        <v>0</v>
      </c>
      <c r="E38" s="42">
        <f>E14+E17+E20+E23+E26+E29+E32+E35</f>
        <v>0</v>
      </c>
      <c r="F38" s="42">
        <f>F14+F17+F20+F23+F26+F29+F32+F35</f>
        <v>0</v>
      </c>
      <c r="G38" s="43">
        <f>G14+G17+G20+G23+G26+G29+G32+G35</f>
        <v>0</v>
      </c>
      <c r="H38" s="43">
        <f>H14+H17+H20+H23+H26+H29+H32+H35</f>
        <v>0</v>
      </c>
      <c r="I38" s="43">
        <f>I14+I17+I20+I23+I26+I29+I32+I35</f>
        <v>0</v>
      </c>
      <c r="J38" s="43">
        <f>J14+J17+J20+J23+J26+J29+J32+J35</f>
        <v>0</v>
      </c>
    </row>
    <row r="39" spans="1:14">
      <c r="A39" s="109" t="s">
        <v>97</v>
      </c>
      <c r="B39" s="113"/>
      <c r="C39" s="42">
        <f>C37+C38</f>
        <v>0</v>
      </c>
      <c r="D39" s="42">
        <f>D37+D38</f>
        <v>0</v>
      </c>
      <c r="E39" s="42">
        <f>E37+E38</f>
        <v>0</v>
      </c>
      <c r="F39" s="42">
        <f>F37+F38</f>
        <v>0</v>
      </c>
      <c r="G39" s="43">
        <f>G37+G38</f>
        <v>0</v>
      </c>
      <c r="H39" s="43">
        <f>H37+H38</f>
        <v>0</v>
      </c>
      <c r="I39" s="43">
        <f>I37+I38</f>
        <v>0</v>
      </c>
      <c r="J39" s="43">
        <f>J37+J38</f>
        <v>0</v>
      </c>
      <c r="M39">
        <f>C39+D39+E39+F39</f>
        <v>0</v>
      </c>
      <c r="N39">
        <f>G39+H39+I39+J39</f>
        <v>0</v>
      </c>
    </row>
    <row r="40" spans="1:14">
      <c r="A40" s="34"/>
      <c r="B40" s="34"/>
      <c r="C40" s="34"/>
      <c r="D40" s="34"/>
      <c r="E40" s="34"/>
      <c r="F40" s="34"/>
      <c r="G40" s="34"/>
      <c r="H40" s="34"/>
      <c r="I40" s="34"/>
      <c r="J40" s="34"/>
    </row>
    <row r="41" spans="1:14">
      <c r="A41" s="114" t="s">
        <v>76</v>
      </c>
      <c r="B41" s="81"/>
      <c r="C41" s="81"/>
      <c r="D41" s="81"/>
      <c r="E41" s="34"/>
      <c r="F41" s="114" t="s">
        <v>98</v>
      </c>
      <c r="G41" s="81"/>
      <c r="H41" s="81"/>
      <c r="I41" s="34"/>
      <c r="J41" s="34"/>
    </row>
    <row r="42" spans="1:14">
      <c r="A42" s="34"/>
      <c r="B42" s="115" t="s">
        <v>99</v>
      </c>
      <c r="C42" s="81"/>
      <c r="D42" s="81"/>
      <c r="E42" s="34"/>
      <c r="F42" s="34"/>
      <c r="G42" s="115" t="s">
        <v>100</v>
      </c>
      <c r="H42" s="81"/>
      <c r="I42" s="81"/>
      <c r="J42" s="81"/>
    </row>
    <row r="43" spans="1:14">
      <c r="A43" s="34"/>
      <c r="B43" s="111" t="s">
        <v>101</v>
      </c>
      <c r="C43" s="81"/>
      <c r="D43" s="81"/>
      <c r="E43" s="34"/>
      <c r="F43" s="34"/>
      <c r="G43" s="111" t="s">
        <v>102</v>
      </c>
      <c r="H43" s="81"/>
      <c r="I43" s="81"/>
      <c r="J43" s="81"/>
    </row>
  </sheetData>
  <mergeCells>
    <mergeCell ref="B43:D43"/>
    <mergeCell ref="G43:J43"/>
    <mergeCell ref="A22:A24"/>
    <mergeCell ref="A25:A27"/>
    <mergeCell ref="A28:A30"/>
    <mergeCell ref="A31:A33"/>
    <mergeCell ref="A34:A36"/>
    <mergeCell ref="A37:A38"/>
    <mergeCell ref="A39:B39"/>
    <mergeCell ref="A41:D41"/>
    <mergeCell ref="F41:H41"/>
    <mergeCell ref="B42:D42"/>
    <mergeCell ref="G42:J42"/>
    <mergeCell ref="A19:A21"/>
    <mergeCell ref="A10:J10"/>
    <mergeCell ref="A11:B11"/>
    <mergeCell ref="C11:J11"/>
    <mergeCell ref="A13:A15"/>
    <mergeCell ref="A16:A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8"/>
  <sheetViews>
    <sheetView tabSelected="0" workbookViewId="0" showGridLines="true" showRowColHeaders="1">
      <selection activeCell="P4" sqref="P4"/>
    </sheetView>
  </sheetViews>
  <sheetFormatPr defaultRowHeight="14.4" outlineLevelRow="0" outlineLevelCol="0"/>
  <cols>
    <col min="4" max="4" width="13.7265625" customWidth="true" style="0"/>
    <col min="5" max="5" width="14.36328125" customWidth="true" style="0"/>
    <col min="6" max="6" width="14" customWidth="true" style="0"/>
    <col min="7" max="7" width="12.26953125" customWidth="true" style="0"/>
    <col min="8" max="8" width="12.90625" customWidth="true" style="0"/>
    <col min="9" max="9" width="12.6328125" customWidth="true" style="0"/>
    <col min="13" max="13" width="15.1796875" customWidth="true" style="0"/>
    <col min="14" max="14" width="13.54296875" customWidth="true" style="0"/>
    <col min="15" max="15" width="14" customWidth="true" style="0"/>
  </cols>
  <sheetData>
    <row r="1" spans="1:20">
      <c r="A1" s="116" t="s">
        <v>103</v>
      </c>
      <c r="B1" s="116"/>
      <c r="C1" s="116"/>
      <c r="D1" s="116"/>
      <c r="E1" s="116"/>
      <c r="F1" s="116"/>
      <c r="G1" s="116"/>
      <c r="H1" s="116"/>
      <c r="I1" s="116"/>
      <c r="J1" s="116"/>
      <c r="K1" s="116"/>
      <c r="L1" s="116"/>
      <c r="M1" s="116"/>
      <c r="N1" s="116"/>
      <c r="O1" s="116"/>
    </row>
    <row r="2" spans="1:20">
      <c r="A2" s="119" t="s">
        <v>104</v>
      </c>
      <c r="B2" s="121" t="s">
        <v>105</v>
      </c>
      <c r="C2" s="123" t="s">
        <v>5</v>
      </c>
      <c r="D2" s="125" t="s">
        <v>106</v>
      </c>
      <c r="E2" s="125" t="s">
        <v>107</v>
      </c>
      <c r="F2" s="125" t="s">
        <v>108</v>
      </c>
      <c r="G2" s="125" t="s">
        <v>109</v>
      </c>
      <c r="H2" s="123" t="s">
        <v>110</v>
      </c>
      <c r="I2" s="123" t="s">
        <v>111</v>
      </c>
      <c r="J2" s="125" t="s">
        <v>112</v>
      </c>
      <c r="K2" s="127" t="s">
        <v>113</v>
      </c>
      <c r="L2" s="128"/>
      <c r="M2" s="125" t="s">
        <v>114</v>
      </c>
      <c r="N2" s="125" t="s">
        <v>115</v>
      </c>
      <c r="O2" s="125" t="s">
        <v>116</v>
      </c>
      <c r="P2" s="117" t="s">
        <v>117</v>
      </c>
    </row>
    <row r="3" spans="1:20" customHeight="1" ht="52.5">
      <c r="A3" s="120"/>
      <c r="B3" s="122"/>
      <c r="C3" s="124"/>
      <c r="D3" s="126"/>
      <c r="E3" s="126"/>
      <c r="F3" s="126"/>
      <c r="G3" s="126"/>
      <c r="H3" s="124"/>
      <c r="I3" s="124"/>
      <c r="J3" s="126"/>
      <c r="K3" s="12" t="s">
        <v>118</v>
      </c>
      <c r="L3" s="12" t="s">
        <v>119</v>
      </c>
      <c r="M3" s="126"/>
      <c r="N3" s="126"/>
      <c r="O3" s="126"/>
      <c r="P3" s="118"/>
    </row>
    <row r="4" spans="1:20">
      <c r="A4">
        <v>1</v>
      </c>
      <c r="B4" t="s">
        <v>120</v>
      </c>
      <c r="C4" t="s">
        <v>121</v>
      </c>
      <c r="K4" t="s">
        <v>122</v>
      </c>
      <c r="L4" t="s">
        <v>123</v>
      </c>
      <c r="O4" t="s">
        <v>124</v>
      </c>
      <c r="P4" t="s">
        <v>124</v>
      </c>
      <c r="Q4" t="s">
        <v>125</v>
      </c>
      <c r="R4" t="s">
        <v>125</v>
      </c>
      <c r="S4" t="s">
        <v>125</v>
      </c>
      <c r="T4" t="s">
        <v>125</v>
      </c>
    </row>
    <row r="5" spans="1:20">
      <c r="A5">
        <v>2</v>
      </c>
      <c r="B5" t="s">
        <v>126</v>
      </c>
      <c r="C5" t="s">
        <v>127</v>
      </c>
      <c r="K5" t="s">
        <v>122</v>
      </c>
      <c r="L5" t="s">
        <v>123</v>
      </c>
      <c r="O5" t="s">
        <v>125</v>
      </c>
      <c r="P5" t="s">
        <v>125</v>
      </c>
      <c r="Q5" t="s">
        <v>125</v>
      </c>
      <c r="R5" t="s">
        <v>125</v>
      </c>
      <c r="S5" t="s">
        <v>125</v>
      </c>
      <c r="T5" t="s">
        <v>125</v>
      </c>
    </row>
    <row r="6" spans="1:20">
      <c r="A6">
        <v>3</v>
      </c>
      <c r="B6" t="s">
        <v>126</v>
      </c>
      <c r="C6" t="s">
        <v>127</v>
      </c>
      <c r="K6" t="s">
        <v>122</v>
      </c>
      <c r="L6" t="s">
        <v>123</v>
      </c>
      <c r="O6" t="s">
        <v>125</v>
      </c>
      <c r="P6" t="s">
        <v>125</v>
      </c>
      <c r="Q6" t="s">
        <v>125</v>
      </c>
      <c r="R6" t="s">
        <v>125</v>
      </c>
      <c r="S6" t="s">
        <v>125</v>
      </c>
      <c r="T6" t="s">
        <v>125</v>
      </c>
    </row>
    <row r="7" spans="1:20">
      <c r="A7">
        <v>4</v>
      </c>
      <c r="B7" t="s">
        <v>128</v>
      </c>
      <c r="C7" t="s">
        <v>121</v>
      </c>
      <c r="K7" t="s">
        <v>122</v>
      </c>
      <c r="L7" t="s">
        <v>129</v>
      </c>
      <c r="O7" t="s">
        <v>124</v>
      </c>
      <c r="P7" t="s">
        <v>125</v>
      </c>
      <c r="Q7" t="s">
        <v>125</v>
      </c>
      <c r="R7" t="s">
        <v>125</v>
      </c>
      <c r="S7" t="s">
        <v>125</v>
      </c>
      <c r="T7" t="s">
        <v>125</v>
      </c>
    </row>
    <row r="8" spans="1:20">
      <c r="A8">
        <v>5</v>
      </c>
      <c r="B8" t="s">
        <v>130</v>
      </c>
      <c r="C8" t="s">
        <v>127</v>
      </c>
      <c r="K8" t="s">
        <v>122</v>
      </c>
      <c r="L8" t="s">
        <v>123</v>
      </c>
      <c r="O8" t="s">
        <v>125</v>
      </c>
      <c r="P8" t="s">
        <v>125</v>
      </c>
      <c r="Q8" t="s">
        <v>124</v>
      </c>
      <c r="R8" t="s">
        <v>124</v>
      </c>
      <c r="S8" t="s">
        <v>125</v>
      </c>
      <c r="T8" t="s">
        <v>125</v>
      </c>
    </row>
    <row r="9" spans="1:20">
      <c r="A9">
        <v>6</v>
      </c>
      <c r="B9" t="s">
        <v>131</v>
      </c>
      <c r="C9" t="s">
        <v>127</v>
      </c>
      <c r="K9" t="s">
        <v>122</v>
      </c>
      <c r="L9" t="s">
        <v>129</v>
      </c>
      <c r="O9" t="s">
        <v>124</v>
      </c>
      <c r="P9" t="s">
        <v>125</v>
      </c>
      <c r="Q9" t="s">
        <v>125</v>
      </c>
      <c r="R9" t="s">
        <v>125</v>
      </c>
      <c r="S9" t="s">
        <v>125</v>
      </c>
      <c r="T9" t="s">
        <v>125</v>
      </c>
    </row>
    <row r="10" spans="1:20">
      <c r="A10">
        <v>7</v>
      </c>
      <c r="B10" t="s">
        <v>132</v>
      </c>
      <c r="C10" t="s">
        <v>133</v>
      </c>
      <c r="K10" t="s">
        <v>134</v>
      </c>
      <c r="L10" t="s">
        <v>123</v>
      </c>
      <c r="O10" t="s">
        <v>124</v>
      </c>
      <c r="P10" t="s">
        <v>124</v>
      </c>
      <c r="Q10" t="s">
        <v>124</v>
      </c>
      <c r="R10" t="s">
        <v>124</v>
      </c>
      <c r="S10" t="s">
        <v>124</v>
      </c>
      <c r="T10" t="s">
        <v>124</v>
      </c>
    </row>
    <row r="11" spans="1:20">
      <c r="A11">
        <v>8</v>
      </c>
      <c r="B11" t="s">
        <v>132</v>
      </c>
      <c r="C11" t="s">
        <v>133</v>
      </c>
      <c r="K11" t="s">
        <v>134</v>
      </c>
      <c r="L11" t="s">
        <v>123</v>
      </c>
      <c r="O11" t="s">
        <v>124</v>
      </c>
      <c r="P11" t="s">
        <v>124</v>
      </c>
      <c r="Q11" t="s">
        <v>124</v>
      </c>
      <c r="R11" t="s">
        <v>124</v>
      </c>
      <c r="S11" t="s">
        <v>124</v>
      </c>
      <c r="T11" t="s">
        <v>124</v>
      </c>
    </row>
    <row r="12" spans="1:20">
      <c r="A12">
        <v>9</v>
      </c>
      <c r="B12" t="s">
        <v>132</v>
      </c>
      <c r="C12" t="s">
        <v>133</v>
      </c>
      <c r="K12" t="s">
        <v>134</v>
      </c>
      <c r="L12" t="s">
        <v>123</v>
      </c>
      <c r="O12" t="s">
        <v>124</v>
      </c>
      <c r="P12" t="s">
        <v>124</v>
      </c>
      <c r="Q12" t="s">
        <v>124</v>
      </c>
      <c r="R12" t="s">
        <v>124</v>
      </c>
      <c r="S12" t="s">
        <v>124</v>
      </c>
      <c r="T12" t="s">
        <v>124</v>
      </c>
    </row>
    <row r="13" spans="1:20">
      <c r="A13">
        <v>10</v>
      </c>
      <c r="B13" t="s">
        <v>132</v>
      </c>
      <c r="C13" t="s">
        <v>133</v>
      </c>
      <c r="K13" t="s">
        <v>134</v>
      </c>
      <c r="L13" t="s">
        <v>123</v>
      </c>
      <c r="O13" t="s">
        <v>124</v>
      </c>
      <c r="P13" t="s">
        <v>124</v>
      </c>
      <c r="Q13" t="s">
        <v>124</v>
      </c>
      <c r="R13" t="s">
        <v>124</v>
      </c>
      <c r="S13" t="s">
        <v>124</v>
      </c>
      <c r="T13" t="s">
        <v>124</v>
      </c>
    </row>
    <row r="14" spans="1:20">
      <c r="A14">
        <v>11</v>
      </c>
      <c r="B14" t="s">
        <v>132</v>
      </c>
      <c r="C14" t="s">
        <v>133</v>
      </c>
      <c r="K14" t="s">
        <v>134</v>
      </c>
      <c r="L14" t="s">
        <v>123</v>
      </c>
      <c r="O14" t="s">
        <v>124</v>
      </c>
      <c r="P14" t="s">
        <v>124</v>
      </c>
      <c r="Q14" t="s">
        <v>124</v>
      </c>
      <c r="R14" t="s">
        <v>124</v>
      </c>
      <c r="S14" t="s">
        <v>124</v>
      </c>
      <c r="T14" t="s">
        <v>124</v>
      </c>
    </row>
    <row r="15" spans="1:20">
      <c r="A15">
        <v>12</v>
      </c>
      <c r="B15" t="s">
        <v>132</v>
      </c>
      <c r="C15" t="s">
        <v>133</v>
      </c>
      <c r="K15" t="s">
        <v>134</v>
      </c>
      <c r="L15" t="s">
        <v>123</v>
      </c>
      <c r="O15" t="s">
        <v>124</v>
      </c>
      <c r="P15" t="s">
        <v>124</v>
      </c>
      <c r="Q15" t="s">
        <v>124</v>
      </c>
      <c r="R15" t="s">
        <v>124</v>
      </c>
      <c r="S15" t="s">
        <v>124</v>
      </c>
      <c r="T15" t="s">
        <v>124</v>
      </c>
    </row>
    <row r="16" spans="1:20">
      <c r="A16">
        <v>13</v>
      </c>
      <c r="B16" t="s">
        <v>132</v>
      </c>
      <c r="C16" t="s">
        <v>133</v>
      </c>
      <c r="K16" t="s">
        <v>134</v>
      </c>
      <c r="L16" t="s">
        <v>123</v>
      </c>
      <c r="O16" t="s">
        <v>124</v>
      </c>
      <c r="P16" t="s">
        <v>124</v>
      </c>
      <c r="Q16" t="s">
        <v>124</v>
      </c>
      <c r="R16" t="s">
        <v>124</v>
      </c>
      <c r="S16" t="s">
        <v>124</v>
      </c>
      <c r="T16" t="s">
        <v>124</v>
      </c>
    </row>
    <row r="17" spans="1:20">
      <c r="A17">
        <v>14</v>
      </c>
      <c r="B17" t="s">
        <v>132</v>
      </c>
      <c r="C17" t="s">
        <v>133</v>
      </c>
      <c r="K17" t="s">
        <v>134</v>
      </c>
      <c r="L17" t="s">
        <v>123</v>
      </c>
      <c r="O17" t="s">
        <v>124</v>
      </c>
      <c r="P17" t="s">
        <v>124</v>
      </c>
      <c r="Q17" t="s">
        <v>124</v>
      </c>
      <c r="R17" t="s">
        <v>124</v>
      </c>
      <c r="S17" t="s">
        <v>124</v>
      </c>
      <c r="T17" t="s">
        <v>124</v>
      </c>
    </row>
    <row r="18" spans="1:20">
      <c r="A18">
        <v>15</v>
      </c>
      <c r="B18" t="s">
        <v>132</v>
      </c>
      <c r="C18" t="s">
        <v>133</v>
      </c>
      <c r="K18" t="s">
        <v>134</v>
      </c>
      <c r="L18" t="s">
        <v>123</v>
      </c>
      <c r="O18" t="s">
        <v>124</v>
      </c>
      <c r="P18" t="s">
        <v>124</v>
      </c>
      <c r="Q18" t="s">
        <v>124</v>
      </c>
      <c r="R18" t="s">
        <v>124</v>
      </c>
      <c r="S18" t="s">
        <v>124</v>
      </c>
      <c r="T18" t="s">
        <v>124</v>
      </c>
    </row>
    <row r="19" spans="1:20">
      <c r="A19">
        <v>16</v>
      </c>
      <c r="B19" t="s">
        <v>132</v>
      </c>
      <c r="C19" t="s">
        <v>133</v>
      </c>
      <c r="K19" t="s">
        <v>134</v>
      </c>
      <c r="L19" t="s">
        <v>123</v>
      </c>
      <c r="O19" t="s">
        <v>124</v>
      </c>
      <c r="P19" t="s">
        <v>124</v>
      </c>
      <c r="Q19" t="s">
        <v>124</v>
      </c>
      <c r="R19" t="s">
        <v>124</v>
      </c>
      <c r="S19" t="s">
        <v>124</v>
      </c>
      <c r="T19" t="s">
        <v>124</v>
      </c>
    </row>
    <row r="20" spans="1:20">
      <c r="A20">
        <v>17</v>
      </c>
      <c r="B20" t="s">
        <v>132</v>
      </c>
      <c r="C20" t="s">
        <v>133</v>
      </c>
      <c r="K20" t="s">
        <v>134</v>
      </c>
      <c r="L20" t="s">
        <v>123</v>
      </c>
      <c r="O20" t="s">
        <v>124</v>
      </c>
      <c r="P20" t="s">
        <v>124</v>
      </c>
      <c r="Q20" t="s">
        <v>124</v>
      </c>
      <c r="R20" t="s">
        <v>124</v>
      </c>
      <c r="S20" t="s">
        <v>124</v>
      </c>
      <c r="T20" t="s">
        <v>124</v>
      </c>
    </row>
    <row r="21" spans="1:20">
      <c r="A21">
        <v>18</v>
      </c>
      <c r="B21" t="s">
        <v>132</v>
      </c>
      <c r="C21" t="s">
        <v>133</v>
      </c>
      <c r="K21" t="s">
        <v>134</v>
      </c>
      <c r="L21" t="s">
        <v>123</v>
      </c>
      <c r="O21" t="s">
        <v>124</v>
      </c>
      <c r="P21" t="s">
        <v>124</v>
      </c>
      <c r="Q21" t="s">
        <v>124</v>
      </c>
      <c r="R21" t="s">
        <v>124</v>
      </c>
      <c r="S21" t="s">
        <v>124</v>
      </c>
      <c r="T21" t="s">
        <v>124</v>
      </c>
    </row>
    <row r="22" spans="1:20">
      <c r="A22">
        <v>19</v>
      </c>
      <c r="B22" t="s">
        <v>132</v>
      </c>
      <c r="C22" t="s">
        <v>133</v>
      </c>
      <c r="K22" t="s">
        <v>134</v>
      </c>
      <c r="L22" t="s">
        <v>123</v>
      </c>
      <c r="O22" t="s">
        <v>124</v>
      </c>
      <c r="P22" t="s">
        <v>124</v>
      </c>
      <c r="Q22" t="s">
        <v>124</v>
      </c>
      <c r="R22" t="s">
        <v>124</v>
      </c>
      <c r="S22" t="s">
        <v>124</v>
      </c>
      <c r="T22" t="s">
        <v>124</v>
      </c>
    </row>
    <row r="23" spans="1:20">
      <c r="A23">
        <v>20</v>
      </c>
      <c r="B23" t="s">
        <v>132</v>
      </c>
      <c r="C23" t="s">
        <v>133</v>
      </c>
      <c r="K23" t="s">
        <v>134</v>
      </c>
      <c r="L23" t="s">
        <v>123</v>
      </c>
      <c r="O23" t="s">
        <v>124</v>
      </c>
      <c r="P23" t="s">
        <v>124</v>
      </c>
      <c r="Q23" t="s">
        <v>124</v>
      </c>
      <c r="R23" t="s">
        <v>124</v>
      </c>
      <c r="S23" t="s">
        <v>124</v>
      </c>
      <c r="T23" t="s">
        <v>124</v>
      </c>
    </row>
    <row r="24" spans="1:20">
      <c r="A24">
        <v>21</v>
      </c>
      <c r="B24" t="s">
        <v>132</v>
      </c>
      <c r="C24" t="s">
        <v>133</v>
      </c>
      <c r="K24" t="s">
        <v>134</v>
      </c>
      <c r="L24" t="s">
        <v>123</v>
      </c>
      <c r="O24" t="s">
        <v>124</v>
      </c>
      <c r="P24" t="s">
        <v>124</v>
      </c>
      <c r="Q24" t="s">
        <v>124</v>
      </c>
      <c r="R24" t="s">
        <v>124</v>
      </c>
      <c r="S24" t="s">
        <v>124</v>
      </c>
      <c r="T24" t="s">
        <v>124</v>
      </c>
    </row>
    <row r="25" spans="1:20">
      <c r="A25">
        <v>22</v>
      </c>
      <c r="B25" t="s">
        <v>135</v>
      </c>
      <c r="C25" t="s">
        <v>127</v>
      </c>
      <c r="K25" t="s">
        <v>122</v>
      </c>
      <c r="L25" t="s">
        <v>123</v>
      </c>
      <c r="O25" t="s">
        <v>124</v>
      </c>
      <c r="P25" t="s">
        <v>124</v>
      </c>
      <c r="Q25" t="s">
        <v>124</v>
      </c>
      <c r="R25" t="s">
        <v>124</v>
      </c>
      <c r="S25" t="s">
        <v>124</v>
      </c>
      <c r="T25" t="s">
        <v>124</v>
      </c>
    </row>
    <row r="26" spans="1:20">
      <c r="A26">
        <v>23</v>
      </c>
      <c r="B26" t="s">
        <v>135</v>
      </c>
      <c r="C26" t="s">
        <v>127</v>
      </c>
      <c r="K26" t="s">
        <v>122</v>
      </c>
      <c r="L26" t="s">
        <v>123</v>
      </c>
      <c r="O26" t="s">
        <v>124</v>
      </c>
      <c r="P26" t="s">
        <v>124</v>
      </c>
      <c r="Q26" t="s">
        <v>124</v>
      </c>
      <c r="R26" t="s">
        <v>124</v>
      </c>
      <c r="S26" t="s">
        <v>124</v>
      </c>
      <c r="T26" t="s">
        <v>124</v>
      </c>
    </row>
    <row r="27" spans="1:20">
      <c r="A27">
        <v>24</v>
      </c>
      <c r="B27" t="s">
        <v>136</v>
      </c>
      <c r="C27" t="s">
        <v>127</v>
      </c>
      <c r="K27" t="s">
        <v>122</v>
      </c>
      <c r="L27" t="s">
        <v>123</v>
      </c>
      <c r="O27" t="s">
        <v>124</v>
      </c>
      <c r="P27" t="s">
        <v>124</v>
      </c>
      <c r="Q27" t="s">
        <v>124</v>
      </c>
      <c r="R27" t="s">
        <v>124</v>
      </c>
      <c r="S27" t="s">
        <v>124</v>
      </c>
      <c r="T27" t="s">
        <v>124</v>
      </c>
    </row>
    <row r="28" spans="1:20">
      <c r="A28">
        <v>25</v>
      </c>
      <c r="B28" t="s">
        <v>137</v>
      </c>
      <c r="C28" t="s">
        <v>127</v>
      </c>
      <c r="K28" t="s">
        <v>122</v>
      </c>
      <c r="L28" t="s">
        <v>129</v>
      </c>
      <c r="O28" t="s">
        <v>124</v>
      </c>
      <c r="P28" t="s">
        <v>124</v>
      </c>
      <c r="Q28" t="s">
        <v>124</v>
      </c>
      <c r="R28" t="s">
        <v>124</v>
      </c>
      <c r="S28" t="s">
        <v>124</v>
      </c>
      <c r="T28" t="s">
        <v>124</v>
      </c>
    </row>
  </sheetData>
  <mergeCells>
    <mergeCell ref="J2:J3"/>
    <mergeCell ref="K2:L2"/>
    <mergeCell ref="M2:M3"/>
    <mergeCell ref="N2:N3"/>
    <mergeCell ref="O2:O3"/>
    <mergeCell ref="P2:P3"/>
    <mergeCell ref="A1:O1"/>
    <mergeCell ref="A2:A3"/>
    <mergeCell ref="B2:B3"/>
    <mergeCell ref="C2:C3"/>
    <mergeCell ref="D2:D3"/>
    <mergeCell ref="E2:E3"/>
    <mergeCell ref="F2:F3"/>
    <mergeCell ref="G2:G3"/>
    <mergeCell ref="H2:H3"/>
    <mergeCell ref="I2:I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2"/>
  <sheetViews>
    <sheetView tabSelected="0" workbookViewId="0" zoomScale="55" zoomScaleNormal="55" showGridLines="true" showRowColHeaders="1">
      <selection activeCell="P23" sqref="P23"/>
    </sheetView>
  </sheetViews>
  <sheetFormatPr defaultRowHeight="14.4" outlineLevelRow="0" outlineLevelCol="0"/>
  <sheetData>
    <row r="1" spans="1:20">
      <c r="A1" s="129" t="s">
        <v>138</v>
      </c>
      <c r="B1" s="129"/>
      <c r="C1" s="44"/>
      <c r="D1" s="44"/>
      <c r="E1" s="44"/>
      <c r="F1" s="45"/>
      <c r="G1" s="44"/>
      <c r="H1" s="44"/>
      <c r="I1" s="44"/>
      <c r="J1" s="44"/>
      <c r="K1" s="44"/>
      <c r="L1" s="46"/>
      <c r="M1" s="47"/>
      <c r="N1" s="44"/>
      <c r="O1" s="44"/>
      <c r="P1" s="44"/>
      <c r="Q1" s="44"/>
      <c r="R1" s="44"/>
      <c r="S1" s="44"/>
      <c r="T1" s="44"/>
    </row>
    <row r="2" spans="1:20">
      <c r="A2" s="130" t="s">
        <v>41</v>
      </c>
      <c r="B2" s="131"/>
      <c r="C2" s="131"/>
      <c r="D2" s="131"/>
      <c r="E2" s="131"/>
      <c r="F2" s="131"/>
      <c r="G2" s="131"/>
      <c r="H2" s="131"/>
      <c r="I2" s="131"/>
      <c r="J2" s="131"/>
      <c r="K2" s="131"/>
      <c r="L2" s="131"/>
      <c r="M2" s="131"/>
      <c r="N2" s="131"/>
      <c r="O2" s="131"/>
      <c r="P2" s="131"/>
      <c r="Q2" s="131"/>
      <c r="R2" s="131"/>
      <c r="S2" s="131"/>
      <c r="T2" s="131"/>
    </row>
    <row r="3" spans="1:20">
      <c r="A3" s="132"/>
      <c r="B3" s="132"/>
      <c r="C3" s="132"/>
      <c r="D3" s="132"/>
      <c r="E3" s="132"/>
      <c r="F3" s="132"/>
      <c r="G3" s="132"/>
      <c r="H3" s="132"/>
      <c r="I3" s="132"/>
      <c r="J3" s="132"/>
      <c r="K3" s="132"/>
      <c r="L3" s="132"/>
      <c r="M3" s="132"/>
      <c r="N3" s="132"/>
      <c r="O3" s="132"/>
      <c r="P3" s="132"/>
      <c r="Q3" s="132"/>
      <c r="R3" s="132"/>
      <c r="S3" s="132"/>
      <c r="T3" s="132"/>
    </row>
    <row r="4" spans="1:20" customHeight="1" ht="15.5">
      <c r="A4" s="133" t="s">
        <v>139</v>
      </c>
      <c r="B4" s="134"/>
      <c r="C4" s="134"/>
      <c r="D4" s="134"/>
      <c r="E4" s="134"/>
      <c r="F4" s="134"/>
      <c r="G4" s="134"/>
      <c r="H4" s="134"/>
      <c r="I4" s="134"/>
      <c r="J4" s="134"/>
      <c r="K4" s="134"/>
      <c r="L4" s="134"/>
      <c r="M4" s="134"/>
      <c r="N4" s="134"/>
      <c r="O4" s="134"/>
      <c r="P4" s="134"/>
      <c r="Q4" s="134"/>
      <c r="R4" s="134"/>
      <c r="S4" s="134"/>
      <c r="T4" s="134"/>
    </row>
    <row r="5" spans="1:20">
      <c r="A5" s="44"/>
      <c r="B5" s="44"/>
      <c r="C5" s="44"/>
      <c r="D5" s="44"/>
      <c r="E5" s="44"/>
      <c r="F5" s="45"/>
      <c r="G5" s="44"/>
      <c r="H5" s="44"/>
      <c r="I5" s="44"/>
      <c r="J5" s="44"/>
      <c r="K5" s="44"/>
      <c r="L5" s="46"/>
      <c r="M5" s="47"/>
      <c r="N5" s="44"/>
      <c r="O5" s="44"/>
      <c r="P5" s="44"/>
      <c r="Q5" s="44"/>
      <c r="R5" s="44"/>
      <c r="S5" s="44"/>
      <c r="T5" s="44"/>
    </row>
    <row r="6" spans="1:20">
      <c r="A6" s="135" t="s">
        <v>140</v>
      </c>
      <c r="B6" s="136"/>
      <c r="C6" s="136"/>
      <c r="D6" s="136"/>
      <c r="E6" s="136"/>
      <c r="F6" s="136"/>
      <c r="G6" s="44"/>
      <c r="H6" s="137" t="s">
        <v>141</v>
      </c>
      <c r="I6" s="137"/>
      <c r="J6" s="137"/>
      <c r="K6" s="137"/>
      <c r="L6" s="137"/>
      <c r="M6" s="137"/>
      <c r="N6" s="44"/>
      <c r="O6" s="44"/>
      <c r="P6" s="44"/>
      <c r="Q6" s="44"/>
      <c r="R6" s="44"/>
      <c r="S6" s="44"/>
      <c r="T6" s="44"/>
    </row>
    <row r="7" spans="1:20">
      <c r="A7" s="135" t="s">
        <v>142</v>
      </c>
      <c r="B7" s="136"/>
      <c r="C7" s="136"/>
      <c r="D7" s="136"/>
      <c r="E7" s="136"/>
      <c r="F7" s="136"/>
      <c r="G7" s="44"/>
      <c r="H7" s="137" t="s">
        <v>143</v>
      </c>
      <c r="I7" s="137"/>
      <c r="J7" s="137"/>
      <c r="K7" s="137"/>
      <c r="L7" s="137"/>
      <c r="M7" s="137"/>
      <c r="N7" s="48"/>
      <c r="O7" s="44"/>
      <c r="P7" s="44"/>
      <c r="Q7" s="44"/>
      <c r="R7" s="44"/>
      <c r="S7" s="44"/>
      <c r="T7" s="44"/>
    </row>
    <row r="8" spans="1:20">
      <c r="A8" s="135" t="s">
        <v>144</v>
      </c>
      <c r="B8" s="136"/>
      <c r="C8" s="136"/>
      <c r="D8" s="136"/>
      <c r="E8" s="136"/>
      <c r="F8" s="136"/>
      <c r="G8" s="44"/>
      <c r="H8" s="44"/>
      <c r="I8" s="44"/>
      <c r="J8" s="44"/>
      <c r="K8" s="44"/>
      <c r="L8" s="46"/>
      <c r="M8" s="47"/>
      <c r="N8" s="44"/>
      <c r="O8" s="44"/>
      <c r="P8" s="44"/>
      <c r="Q8" s="44"/>
      <c r="R8" s="44"/>
      <c r="S8" s="44"/>
      <c r="T8" s="44"/>
    </row>
    <row r="9" spans="1:20">
      <c r="A9" s="135" t="s">
        <v>145</v>
      </c>
      <c r="B9" s="136"/>
      <c r="C9" s="136"/>
      <c r="D9" s="136"/>
      <c r="E9" s="136"/>
      <c r="F9" s="136"/>
      <c r="G9" s="44"/>
      <c r="H9" s="44"/>
      <c r="I9" s="44"/>
      <c r="J9" s="44"/>
      <c r="K9" s="44"/>
      <c r="L9" s="46"/>
      <c r="M9" s="47"/>
      <c r="N9" s="44"/>
      <c r="O9" s="44"/>
      <c r="P9" s="44"/>
      <c r="Q9" s="44"/>
      <c r="R9" s="44"/>
      <c r="S9" s="44"/>
      <c r="T9" s="44"/>
    </row>
    <row r="10" spans="1:20" customHeight="1" ht="15">
      <c r="A10" s="44"/>
      <c r="B10" s="44"/>
      <c r="C10" s="44"/>
      <c r="D10" s="44"/>
      <c r="E10" s="44"/>
      <c r="F10" s="45"/>
      <c r="G10" s="44"/>
      <c r="H10" s="44"/>
      <c r="I10" s="44"/>
      <c r="J10" s="44"/>
      <c r="K10" s="44"/>
      <c r="L10" s="46"/>
      <c r="M10" s="47"/>
      <c r="N10" s="44"/>
      <c r="O10" s="44"/>
      <c r="P10" s="44"/>
      <c r="Q10" s="44"/>
      <c r="R10" s="44"/>
      <c r="S10" s="44"/>
      <c r="T10" s="44"/>
    </row>
    <row r="11" spans="1:20">
      <c r="A11" s="138" t="s">
        <v>146</v>
      </c>
      <c r="B11" s="140" t="s">
        <v>105</v>
      </c>
      <c r="C11" s="140" t="s">
        <v>5</v>
      </c>
      <c r="D11" s="142" t="s">
        <v>147</v>
      </c>
      <c r="E11" s="142" t="s">
        <v>148</v>
      </c>
      <c r="F11" s="144" t="s">
        <v>149</v>
      </c>
      <c r="G11" s="142" t="s">
        <v>150</v>
      </c>
      <c r="H11" s="142" t="s">
        <v>151</v>
      </c>
      <c r="I11" s="142"/>
      <c r="J11" s="142" t="s">
        <v>152</v>
      </c>
      <c r="K11" s="142" t="s">
        <v>153</v>
      </c>
      <c r="L11" s="148" t="s">
        <v>154</v>
      </c>
      <c r="M11" s="142" t="s">
        <v>113</v>
      </c>
      <c r="N11" s="150"/>
      <c r="O11" s="151" t="s">
        <v>155</v>
      </c>
      <c r="P11" s="151" t="s">
        <v>156</v>
      </c>
      <c r="Q11" s="151" t="s">
        <v>157</v>
      </c>
      <c r="R11" s="151" t="s">
        <v>158</v>
      </c>
      <c r="S11" s="151" t="s">
        <v>159</v>
      </c>
      <c r="T11" s="146" t="s">
        <v>160</v>
      </c>
    </row>
    <row r="12" spans="1:20">
      <c r="A12" s="139"/>
      <c r="B12" s="141"/>
      <c r="C12" s="141"/>
      <c r="D12" s="141"/>
      <c r="E12" s="143"/>
      <c r="F12" s="145"/>
      <c r="G12" s="141"/>
      <c r="H12" s="49" t="s">
        <v>161</v>
      </c>
      <c r="I12" s="49" t="s">
        <v>162</v>
      </c>
      <c r="J12" s="141"/>
      <c r="K12" s="141"/>
      <c r="L12" s="149"/>
      <c r="M12" s="50" t="s">
        <v>118</v>
      </c>
      <c r="N12" s="51" t="s">
        <v>119</v>
      </c>
      <c r="O12" s="152"/>
      <c r="P12" s="152"/>
      <c r="Q12" s="153"/>
      <c r="R12" s="153"/>
      <c r="S12" s="152"/>
      <c r="T12" s="147"/>
    </row>
  </sheetData>
  <mergeCells>
    <mergeCell ref="O11:O12"/>
    <mergeCell ref="P11:P12"/>
    <mergeCell ref="Q11:Q12"/>
    <mergeCell ref="R11:R12"/>
    <mergeCell ref="S11:S12"/>
    <mergeCell ref="T11:T12"/>
    <mergeCell ref="G11:G12"/>
    <mergeCell ref="H11:I11"/>
    <mergeCell ref="J11:J12"/>
    <mergeCell ref="K11:K12"/>
    <mergeCell ref="L11:L12"/>
    <mergeCell ref="M11:N11"/>
    <mergeCell ref="A7:F7"/>
    <mergeCell ref="H7:M7"/>
    <mergeCell ref="A8:F8"/>
    <mergeCell ref="A9:F9"/>
    <mergeCell ref="A11:A12"/>
    <mergeCell ref="B11:B12"/>
    <mergeCell ref="C11:C12"/>
    <mergeCell ref="D11:D12"/>
    <mergeCell ref="E11:E12"/>
    <mergeCell ref="F11:F12"/>
    <mergeCell ref="A1:B1"/>
    <mergeCell ref="A2:T2"/>
    <mergeCell ref="A3:T3"/>
    <mergeCell ref="A4:T4"/>
    <mergeCell ref="A6:F6"/>
    <mergeCell ref="H6:M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Baseline</vt:lpstr>
      <vt:lpstr>Form2</vt:lpstr>
      <vt:lpstr>M_PES</vt:lpstr>
      <vt:lpstr>F1_B</vt:lpstr>
      <vt:lpstr>F1_M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SECTION</dc:creator>
  <cp:lastModifiedBy>ADMIN</cp:lastModifiedBy>
  <dcterms:created xsi:type="dcterms:W3CDTF">2025-11-20T02:21:36+00:00</dcterms:created>
  <dcterms:modified xsi:type="dcterms:W3CDTF">2026-02-19T06:38:58+00:00</dcterms:modified>
  <dc:title/>
  <dc:description/>
  <dc:subject/>
  <cp:keywords/>
  <cp:category/>
</cp:coreProperties>
</file>