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<sst xmlns="http://schemas.openxmlformats.org/spreadsheetml/2006/main" uniqueCount="115">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</sst>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999999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2" numFmtId="0" fillId="0" borderId="21" applyFont="1" applyNumberFormat="0" applyFill="0" applyBorder="1" applyAlignment="1">
      <alignment horizontal="right" vertical="center" textRotation="0" wrapText="false" shrinkToFit="false"/>
    </xf>
    <xf xfId="0" fontId="2" numFmtId="0" fillId="8" borderId="22" applyFont="1" applyNumberFormat="0" applyFill="1" applyBorder="1" applyAlignment="1">
      <alignment horizontal="right"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9" fillId="0" borderId="22" applyFont="1" applyNumberFormat="1" applyFill="0" applyBorder="1" applyAlignment="1">
      <alignment horizontal="center" vertical="center" textRotation="0" wrapText="true" shrinkToFit="false"/>
    </xf>
    <xf xfId="0" fontId="2" numFmtId="0" fillId="8" borderId="22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49">
      <selection activeCell="Z332" sqref="Z332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3"/>
      <c r="B1" s="194"/>
      <c r="C1" s="194"/>
      <c r="D1" s="194"/>
      <c r="E1" s="194"/>
      <c r="F1" s="194"/>
      <c r="G1" s="194"/>
      <c r="H1" s="194"/>
      <c r="I1" s="195"/>
      <c r="J1" s="198" t="s">
        <v>0</v>
      </c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5"/>
      <c r="AB1" s="193"/>
      <c r="AC1" s="194"/>
      <c r="AD1" s="194"/>
      <c r="AE1" s="194"/>
      <c r="AF1" s="19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6"/>
      <c r="B2" s="133"/>
      <c r="C2" s="133"/>
      <c r="D2" s="133"/>
      <c r="E2" s="133"/>
      <c r="F2" s="133"/>
      <c r="G2" s="133"/>
      <c r="H2" s="133"/>
      <c r="I2" s="197"/>
      <c r="J2" s="199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1"/>
      <c r="AB2" s="196"/>
      <c r="AC2" s="133"/>
      <c r="AD2" s="133"/>
      <c r="AE2" s="133"/>
      <c r="AF2" s="197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6"/>
      <c r="B3" s="133"/>
      <c r="C3" s="133"/>
      <c r="D3" s="133"/>
      <c r="E3" s="133"/>
      <c r="F3" s="133"/>
      <c r="G3" s="133"/>
      <c r="H3" s="133"/>
      <c r="I3" s="197"/>
      <c r="J3" s="202" t="s">
        <v>2</v>
      </c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5"/>
      <c r="AB3" s="196"/>
      <c r="AC3" s="133"/>
      <c r="AD3" s="133"/>
      <c r="AE3" s="133"/>
      <c r="AF3" s="197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6"/>
      <c r="B4" s="133"/>
      <c r="C4" s="133"/>
      <c r="D4" s="133"/>
      <c r="E4" s="133"/>
      <c r="F4" s="133"/>
      <c r="G4" s="133"/>
      <c r="H4" s="133"/>
      <c r="I4" s="197"/>
      <c r="J4" s="196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7"/>
      <c r="AB4" s="196"/>
      <c r="AC4" s="133"/>
      <c r="AD4" s="133"/>
      <c r="AE4" s="133"/>
      <c r="AF4" s="197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6"/>
      <c r="B5" s="133"/>
      <c r="C5" s="133"/>
      <c r="D5" s="133"/>
      <c r="E5" s="133"/>
      <c r="F5" s="133"/>
      <c r="G5" s="133"/>
      <c r="H5" s="133"/>
      <c r="I5" s="197"/>
      <c r="J5" s="203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7"/>
      <c r="AB5" s="196"/>
      <c r="AC5" s="133"/>
      <c r="AD5" s="133"/>
      <c r="AE5" s="133"/>
      <c r="AF5" s="197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6"/>
      <c r="B6" s="190"/>
      <c r="C6" s="190"/>
      <c r="D6" s="190"/>
      <c r="E6" s="190"/>
      <c r="F6" s="190"/>
      <c r="G6" s="190"/>
      <c r="H6" s="190"/>
      <c r="I6" s="197"/>
      <c r="J6" s="204" t="s">
        <v>6</v>
      </c>
      <c r="K6" s="190"/>
      <c r="L6" s="190"/>
      <c r="M6" s="190"/>
      <c r="N6" s="190"/>
      <c r="O6" s="190"/>
      <c r="P6" s="190"/>
      <c r="Q6" s="190"/>
      <c r="R6" s="190"/>
      <c r="S6" s="190"/>
      <c r="T6" s="190"/>
      <c r="U6" s="190"/>
      <c r="V6" s="190"/>
      <c r="W6" s="190"/>
      <c r="X6" s="190"/>
      <c r="Y6" s="190"/>
      <c r="Z6" s="190"/>
      <c r="AA6" s="197"/>
      <c r="AB6" s="196"/>
      <c r="AC6" s="190"/>
      <c r="AD6" s="190"/>
      <c r="AE6" s="190"/>
      <c r="AF6" s="197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7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8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8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7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9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7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90"/>
      <c r="L10" s="190"/>
      <c r="M10" s="190"/>
      <c r="N10" s="191"/>
      <c r="O10" s="190"/>
      <c r="P10" s="190"/>
      <c r="Q10" s="190"/>
      <c r="R10" s="190"/>
      <c r="S10" s="190"/>
      <c r="T10" s="190"/>
      <c r="U10" s="190"/>
      <c r="V10" s="190"/>
      <c r="W10" s="192" t="s">
        <v>12</v>
      </c>
      <c r="X10" s="190"/>
      <c r="Y10" s="190"/>
      <c r="Z10" s="190"/>
      <c r="AA10" s="190"/>
      <c r="AB10" s="190"/>
      <c r="AC10" s="191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75"/>
      <c r="AR10" s="51"/>
      <c r="AS10" s="11"/>
    </row>
    <row r="11" spans="1:85" customHeight="1" ht="13.5">
      <c r="A11" s="187" t="s">
        <v>13</v>
      </c>
      <c r="B11" s="172"/>
      <c r="C11" s="172"/>
      <c r="D11" s="172"/>
      <c r="E11" s="172"/>
      <c r="F11" s="172"/>
      <c r="G11" s="172"/>
      <c r="H11" s="172"/>
      <c r="I11" s="172"/>
      <c r="J11" s="188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5" t="s">
        <v>14</v>
      </c>
      <c r="X11" s="172"/>
      <c r="Y11" s="172"/>
      <c r="Z11" s="172"/>
      <c r="AA11" s="172"/>
      <c r="AB11" s="189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6" t="s">
        <v>15</v>
      </c>
      <c r="B12" s="207"/>
      <c r="C12" s="207"/>
      <c r="D12" s="207"/>
      <c r="E12" s="207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9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28</v>
      </c>
      <c r="K18" s="172"/>
      <c r="L18" s="172"/>
      <c r="M18" s="172"/>
      <c r="N18" s="180">
        <v>25</v>
      </c>
      <c r="O18" s="181"/>
      <c r="P18" s="181"/>
      <c r="Q18" s="181"/>
      <c r="R18" s="180">
        <v>24</v>
      </c>
      <c r="S18" s="181"/>
      <c r="T18" s="181"/>
      <c r="U18" s="181"/>
      <c r="V18" s="180">
        <v>36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113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35</v>
      </c>
      <c r="K19" s="172"/>
      <c r="L19" s="172"/>
      <c r="M19" s="172"/>
      <c r="N19" s="180">
        <v>21</v>
      </c>
      <c r="O19" s="181"/>
      <c r="P19" s="181"/>
      <c r="Q19" s="181"/>
      <c r="R19" s="180">
        <v>22</v>
      </c>
      <c r="S19" s="181"/>
      <c r="T19" s="181"/>
      <c r="U19" s="181"/>
      <c r="V19" s="180">
        <v>32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110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63</v>
      </c>
      <c r="K20" s="172"/>
      <c r="L20" s="172"/>
      <c r="M20" s="172"/>
      <c r="N20" s="180">
        <f>SUM(N18:Q19)</f>
        <v>46</v>
      </c>
      <c r="O20" s="181"/>
      <c r="P20" s="181"/>
      <c r="Q20" s="181"/>
      <c r="R20" s="180">
        <f>SUM(R18:U19)</f>
        <v>46</v>
      </c>
      <c r="S20" s="181"/>
      <c r="T20" s="181"/>
      <c r="U20" s="181"/>
      <c r="V20" s="180">
        <f>SUM(V18:Y19)</f>
        <v>68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223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4"/>
      <c r="J21" s="186">
        <v>12</v>
      </c>
      <c r="K21" s="186"/>
      <c r="L21" s="186"/>
      <c r="M21" s="186"/>
      <c r="N21" s="185">
        <v>26</v>
      </c>
      <c r="O21" s="181"/>
      <c r="P21" s="181"/>
      <c r="Q21" s="181"/>
      <c r="R21" s="180">
        <v>24</v>
      </c>
      <c r="S21" s="181"/>
      <c r="T21" s="181"/>
      <c r="U21" s="181"/>
      <c r="V21" s="180">
        <v>32</v>
      </c>
      <c r="W21" s="181"/>
      <c r="X21" s="181"/>
      <c r="Y21" s="181"/>
      <c r="Z21" s="180">
        <v>8</v>
      </c>
      <c r="AA21" s="181"/>
      <c r="AB21" s="181"/>
      <c r="AC21" s="181"/>
      <c r="AD21" s="180">
        <v>19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121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0"/>
      <c r="J22" s="186">
        <v>16</v>
      </c>
      <c r="K22" s="186"/>
      <c r="L22" s="186"/>
      <c r="M22" s="186"/>
      <c r="N22" s="185">
        <v>10</v>
      </c>
      <c r="O22" s="181"/>
      <c r="P22" s="181"/>
      <c r="Q22" s="181"/>
      <c r="R22" s="180">
        <v>17</v>
      </c>
      <c r="S22" s="181"/>
      <c r="T22" s="181"/>
      <c r="U22" s="181"/>
      <c r="V22" s="180">
        <v>29</v>
      </c>
      <c r="W22" s="181"/>
      <c r="X22" s="181"/>
      <c r="Y22" s="181"/>
      <c r="Z22" s="180">
        <v>5</v>
      </c>
      <c r="AA22" s="181"/>
      <c r="AB22" s="181"/>
      <c r="AC22" s="181"/>
      <c r="AD22" s="180">
        <v>17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94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0"/>
      <c r="J23" s="186">
        <f>SUM(J22,J21)</f>
        <v>28</v>
      </c>
      <c r="K23" s="186"/>
      <c r="L23" s="186"/>
      <c r="M23" s="186"/>
      <c r="N23" s="185">
        <f>SUM(N21:Q22)</f>
        <v>36</v>
      </c>
      <c r="O23" s="181"/>
      <c r="P23" s="181"/>
      <c r="Q23" s="181"/>
      <c r="R23" s="180">
        <f>SUM(R21:U22)</f>
        <v>41</v>
      </c>
      <c r="S23" s="181"/>
      <c r="T23" s="181"/>
      <c r="U23" s="181"/>
      <c r="V23" s="180">
        <f>SUM(V21:Y22)</f>
        <v>61</v>
      </c>
      <c r="W23" s="181"/>
      <c r="X23" s="181"/>
      <c r="Y23" s="181"/>
      <c r="Z23" s="180">
        <f>SUM(Z21:AC22)</f>
        <v>13</v>
      </c>
      <c r="AA23" s="181"/>
      <c r="AB23" s="181"/>
      <c r="AC23" s="181"/>
      <c r="AD23" s="180">
        <f>SUM(AD21:AG22)</f>
        <v>36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215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2</v>
      </c>
      <c r="O24" s="181"/>
      <c r="P24" s="181"/>
      <c r="Q24" s="181"/>
      <c r="R24" s="180">
        <v>3</v>
      </c>
      <c r="S24" s="181"/>
      <c r="T24" s="181"/>
      <c r="U24" s="181"/>
      <c r="V24" s="180">
        <v>0</v>
      </c>
      <c r="W24" s="181"/>
      <c r="X24" s="181"/>
      <c r="Y24" s="181"/>
      <c r="Z24" s="180">
        <v>0</v>
      </c>
      <c r="AA24" s="181"/>
      <c r="AB24" s="181"/>
      <c r="AC24" s="181"/>
      <c r="AD24" s="180">
        <v>0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5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4</v>
      </c>
      <c r="O25" s="181"/>
      <c r="P25" s="181"/>
      <c r="Q25" s="181"/>
      <c r="R25" s="180">
        <v>3</v>
      </c>
      <c r="S25" s="181"/>
      <c r="T25" s="181"/>
      <c r="U25" s="181"/>
      <c r="V25" s="180">
        <v>0</v>
      </c>
      <c r="W25" s="181"/>
      <c r="X25" s="181"/>
      <c r="Y25" s="181"/>
      <c r="Z25" s="180">
        <v>0</v>
      </c>
      <c r="AA25" s="181"/>
      <c r="AB25" s="181"/>
      <c r="AC25" s="181"/>
      <c r="AD25" s="180">
        <v>0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7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6</v>
      </c>
      <c r="O26" s="181"/>
      <c r="P26" s="181"/>
      <c r="Q26" s="181"/>
      <c r="R26" s="180">
        <f>SUM(R24:U25)</f>
        <v>6</v>
      </c>
      <c r="S26" s="181"/>
      <c r="T26" s="181"/>
      <c r="U26" s="181"/>
      <c r="V26" s="180">
        <f>SUM(V24:Y25)</f>
        <v>0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0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12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0</v>
      </c>
      <c r="O27" s="181"/>
      <c r="P27" s="181"/>
      <c r="Q27" s="181"/>
      <c r="R27" s="180">
        <v>0</v>
      </c>
      <c r="S27" s="181"/>
      <c r="T27" s="181"/>
      <c r="U27" s="181"/>
      <c r="V27" s="180">
        <v>0</v>
      </c>
      <c r="W27" s="181"/>
      <c r="X27" s="181"/>
      <c r="Y27" s="181"/>
      <c r="Z27" s="180">
        <v>0</v>
      </c>
      <c r="AA27" s="181"/>
      <c r="AB27" s="181"/>
      <c r="AC27" s="181"/>
      <c r="AD27" s="180">
        <v>0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0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0</v>
      </c>
      <c r="O28" s="181"/>
      <c r="P28" s="181"/>
      <c r="Q28" s="181"/>
      <c r="R28" s="180">
        <v>0</v>
      </c>
      <c r="S28" s="181"/>
      <c r="T28" s="181"/>
      <c r="U28" s="181"/>
      <c r="V28" s="180">
        <v>0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0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0</v>
      </c>
      <c r="O29" s="181"/>
      <c r="P29" s="181"/>
      <c r="Q29" s="181"/>
      <c r="R29" s="180">
        <f>SUM(R27:U28)</f>
        <v>0</v>
      </c>
      <c r="S29" s="181"/>
      <c r="T29" s="181"/>
      <c r="U29" s="181"/>
      <c r="V29" s="180">
        <f>SUM(V27:Y28)</f>
        <v>0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0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0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0</v>
      </c>
      <c r="O30" s="181"/>
      <c r="P30" s="181"/>
      <c r="Q30" s="181"/>
      <c r="R30" s="180">
        <v>0</v>
      </c>
      <c r="S30" s="181"/>
      <c r="T30" s="181"/>
      <c r="U30" s="181"/>
      <c r="V30" s="180">
        <v>0</v>
      </c>
      <c r="W30" s="181"/>
      <c r="X30" s="181"/>
      <c r="Y30" s="181"/>
      <c r="Z30" s="180">
        <v>0</v>
      </c>
      <c r="AA30" s="181"/>
      <c r="AB30" s="181"/>
      <c r="AC30" s="181"/>
      <c r="AD30" s="180">
        <v>0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0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0</v>
      </c>
      <c r="O31" s="181"/>
      <c r="P31" s="181"/>
      <c r="Q31" s="181"/>
      <c r="R31" s="180">
        <v>0</v>
      </c>
      <c r="S31" s="181"/>
      <c r="T31" s="181"/>
      <c r="U31" s="181"/>
      <c r="V31" s="180">
        <v>0</v>
      </c>
      <c r="W31" s="181"/>
      <c r="X31" s="181"/>
      <c r="Y31" s="181"/>
      <c r="Z31" s="180">
        <v>0</v>
      </c>
      <c r="AA31" s="181"/>
      <c r="AB31" s="181"/>
      <c r="AC31" s="181"/>
      <c r="AD31" s="180">
        <v>0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0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0</v>
      </c>
      <c r="O32" s="181"/>
      <c r="P32" s="181"/>
      <c r="Q32" s="181"/>
      <c r="R32" s="180">
        <f>SUM(R30:U31)</f>
        <v>0</v>
      </c>
      <c r="S32" s="181"/>
      <c r="T32" s="181"/>
      <c r="U32" s="181"/>
      <c r="V32" s="180">
        <f>SUM(V30:Y31)</f>
        <v>0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0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0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0</v>
      </c>
      <c r="O33" s="181"/>
      <c r="P33" s="181"/>
      <c r="Q33" s="181"/>
      <c r="R33" s="180">
        <v>0</v>
      </c>
      <c r="S33" s="181"/>
      <c r="T33" s="181"/>
      <c r="U33" s="181"/>
      <c r="V33" s="180">
        <v>0</v>
      </c>
      <c r="W33" s="181"/>
      <c r="X33" s="181"/>
      <c r="Y33" s="181"/>
      <c r="Z33" s="180">
        <v>0</v>
      </c>
      <c r="AA33" s="181"/>
      <c r="AB33" s="181"/>
      <c r="AC33" s="181"/>
      <c r="AD33" s="180">
        <v>0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0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0</v>
      </c>
      <c r="O34" s="181"/>
      <c r="P34" s="181"/>
      <c r="Q34" s="181"/>
      <c r="R34" s="180">
        <v>0</v>
      </c>
      <c r="S34" s="181"/>
      <c r="T34" s="181"/>
      <c r="U34" s="181"/>
      <c r="V34" s="180">
        <v>0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0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0</v>
      </c>
      <c r="O35" s="181"/>
      <c r="P35" s="181"/>
      <c r="Q35" s="181"/>
      <c r="R35" s="180">
        <f>SUM(R33:U34)</f>
        <v>0</v>
      </c>
      <c r="S35" s="181"/>
      <c r="T35" s="181"/>
      <c r="U35" s="181"/>
      <c r="V35" s="180">
        <f>SUM(V33:Y34)</f>
        <v>0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0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0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0</v>
      </c>
      <c r="O36" s="181"/>
      <c r="P36" s="181"/>
      <c r="Q36" s="181"/>
      <c r="R36" s="180">
        <v>0</v>
      </c>
      <c r="S36" s="181"/>
      <c r="T36" s="181"/>
      <c r="U36" s="181"/>
      <c r="V36" s="180">
        <v>0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0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0</v>
      </c>
      <c r="O37" s="181"/>
      <c r="P37" s="181"/>
      <c r="Q37" s="181"/>
      <c r="R37" s="180">
        <v>0</v>
      </c>
      <c r="S37" s="181"/>
      <c r="T37" s="181"/>
      <c r="U37" s="181"/>
      <c r="V37" s="180">
        <v>0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0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0</v>
      </c>
      <c r="O38" s="181"/>
      <c r="P38" s="181"/>
      <c r="Q38" s="181"/>
      <c r="R38" s="180">
        <f>SUM(R36:U37)</f>
        <v>0</v>
      </c>
      <c r="S38" s="181"/>
      <c r="T38" s="181"/>
      <c r="U38" s="181"/>
      <c r="V38" s="180">
        <f>SUM(V36:Y37)</f>
        <v>0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0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0</v>
      </c>
      <c r="O39" s="181"/>
      <c r="P39" s="181"/>
      <c r="Q39" s="181"/>
      <c r="R39" s="180">
        <v>0</v>
      </c>
      <c r="S39" s="181"/>
      <c r="T39" s="181"/>
      <c r="U39" s="181"/>
      <c r="V39" s="180">
        <v>0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0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0</v>
      </c>
      <c r="O40" s="181"/>
      <c r="P40" s="181"/>
      <c r="Q40" s="181"/>
      <c r="R40" s="180">
        <v>0</v>
      </c>
      <c r="S40" s="181"/>
      <c r="T40" s="181"/>
      <c r="U40" s="181"/>
      <c r="V40" s="180">
        <v>0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0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0</v>
      </c>
      <c r="O41" s="181"/>
      <c r="P41" s="181"/>
      <c r="Q41" s="181"/>
      <c r="R41" s="180">
        <f>SUM(R39:U40)</f>
        <v>0</v>
      </c>
      <c r="S41" s="181"/>
      <c r="T41" s="181"/>
      <c r="U41" s="181"/>
      <c r="V41" s="180">
        <f>SUM(V39:Y40)</f>
        <v>0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0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53</v>
      </c>
      <c r="O45" s="181"/>
      <c r="P45" s="181"/>
      <c r="Q45" s="181"/>
      <c r="R45" s="180">
        <f>SUM(R42,R39,R36,R33,R30,R27,R24,R21,R18)</f>
        <v>51</v>
      </c>
      <c r="S45" s="181"/>
      <c r="T45" s="181"/>
      <c r="U45" s="181"/>
      <c r="V45" s="180">
        <f>SUM(V42,V39,V36,V33,V30,V27,V24,V21,V18)</f>
        <v>68</v>
      </c>
      <c r="W45" s="181"/>
      <c r="X45" s="181"/>
      <c r="Y45" s="181"/>
      <c r="Z45" s="180">
        <f>SUM(Z42,Z39,Z36,Z33,Z30,Z27,Z24,Z21,Z18)</f>
        <v>8</v>
      </c>
      <c r="AA45" s="181"/>
      <c r="AB45" s="181"/>
      <c r="AC45" s="181"/>
      <c r="AD45" s="180">
        <f>SUM(AD42,AD39,AD36,AD33,AD30,AD27,AD24,AD21,AD18)</f>
        <v>19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199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35</v>
      </c>
      <c r="O46" s="181"/>
      <c r="P46" s="181"/>
      <c r="Q46" s="181"/>
      <c r="R46" s="180">
        <f>SUM(R43,R40,R37,R34,R31,R28,R25,R22,R19)</f>
        <v>42</v>
      </c>
      <c r="S46" s="181"/>
      <c r="T46" s="181"/>
      <c r="U46" s="181"/>
      <c r="V46" s="180">
        <f>SUM(V43,V40,V37,V34,V31,V28,V25,V22,V19)</f>
        <v>61</v>
      </c>
      <c r="W46" s="181"/>
      <c r="X46" s="181"/>
      <c r="Y46" s="181"/>
      <c r="Z46" s="180">
        <f>SUM(Z43,Z40,Z37,Z34,Z31,Z28,Z25,Z22,Z19)</f>
        <v>5</v>
      </c>
      <c r="AA46" s="181"/>
      <c r="AB46" s="181"/>
      <c r="AC46" s="181"/>
      <c r="AD46" s="180">
        <f>SUM(AD43,AD40,AD37,AD34,AD31,AD28,AD25,AD22,AD19)</f>
        <v>17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160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91</v>
      </c>
      <c r="K47" s="124"/>
      <c r="L47" s="124"/>
      <c r="M47" s="124"/>
      <c r="N47" s="180">
        <f>SUM(N20,N23,N26,N29,N32,N35,N38,N41,N44)</f>
        <v>88</v>
      </c>
      <c r="O47" s="181"/>
      <c r="P47" s="181"/>
      <c r="Q47" s="181"/>
      <c r="R47" s="180">
        <f>SUM(R20,R23,R26,R29,R32,R35,R38,R41,R44)</f>
        <v>93</v>
      </c>
      <c r="S47" s="181"/>
      <c r="T47" s="181"/>
      <c r="U47" s="181"/>
      <c r="V47" s="180">
        <f>SUM(V20,V23,V26,V29,V32,V35,V38,V41,V44)</f>
        <v>129</v>
      </c>
      <c r="W47" s="181"/>
      <c r="X47" s="181"/>
      <c r="Y47" s="181"/>
      <c r="Z47" s="180">
        <f>SUM(Z20,Z23,Z26,Z29,Z32,Z35,Z38,Z41,Z44)</f>
        <v>13</v>
      </c>
      <c r="AA47" s="181"/>
      <c r="AB47" s="181"/>
      <c r="AC47" s="181"/>
      <c r="AD47" s="180">
        <f>SUM(AD20,AD23,AD26,AD29,AD32,AD35,AD38,AD41,AD44)</f>
        <v>36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450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4"/>
      <c r="J57" s="186"/>
      <c r="K57" s="186"/>
      <c r="L57" s="186"/>
      <c r="M57" s="186"/>
      <c r="N57" s="185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0"/>
      <c r="J58" s="186"/>
      <c r="K58" s="186"/>
      <c r="L58" s="186"/>
      <c r="M58" s="186"/>
      <c r="N58" s="185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0"/>
      <c r="J59" s="186">
        <f>SUM(J58,J57)</f>
        <v>0</v>
      </c>
      <c r="K59" s="186"/>
      <c r="L59" s="186"/>
      <c r="M59" s="186"/>
      <c r="N59" s="185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214"/>
      <c r="K91" s="214"/>
      <c r="L91" s="214"/>
      <c r="M91" s="214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214"/>
      <c r="K92" s="214"/>
      <c r="L92" s="214"/>
      <c r="M92" s="214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186">
        <f>SUM(J92,J91)</f>
        <v>0</v>
      </c>
      <c r="K93" s="186"/>
      <c r="L93" s="186"/>
      <c r="M93" s="186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186">
        <v>0</v>
      </c>
      <c r="K125" s="186"/>
      <c r="L125" s="186"/>
      <c r="M125" s="186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186">
        <v>0</v>
      </c>
      <c r="K126" s="186"/>
      <c r="L126" s="186"/>
      <c r="M126" s="186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186">
        <f>SUM(J126,J125)</f>
        <v>0</v>
      </c>
      <c r="K127" s="186"/>
      <c r="L127" s="186"/>
      <c r="M127" s="186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25</v>
      </c>
      <c r="K193" s="97"/>
      <c r="L193" s="97"/>
      <c r="M193" s="97"/>
      <c r="N193" s="98"/>
      <c r="O193" s="82"/>
      <c r="P193" s="84"/>
      <c r="Q193" s="82">
        <v>24</v>
      </c>
      <c r="R193" s="83"/>
      <c r="S193" s="83"/>
      <c r="T193" s="83"/>
      <c r="U193" s="84"/>
      <c r="V193" s="82"/>
      <c r="W193" s="84"/>
      <c r="X193" s="82">
        <v>33</v>
      </c>
      <c r="Y193" s="83"/>
      <c r="Z193" s="83"/>
      <c r="AA193" s="83"/>
      <c r="AB193" s="84"/>
      <c r="AC193" s="82"/>
      <c r="AD193" s="84"/>
      <c r="AE193" s="82">
        <v>14</v>
      </c>
      <c r="AF193" s="83"/>
      <c r="AG193" s="83"/>
      <c r="AH193" s="83"/>
      <c r="AI193" s="84"/>
      <c r="AJ193" s="82"/>
      <c r="AK193" s="84"/>
      <c r="AL193" s="82">
        <v>17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21</v>
      </c>
      <c r="K194" s="83"/>
      <c r="L194" s="83"/>
      <c r="M194" s="83"/>
      <c r="N194" s="84"/>
      <c r="O194" s="82"/>
      <c r="P194" s="84"/>
      <c r="Q194" s="82">
        <v>22</v>
      </c>
      <c r="R194" s="83"/>
      <c r="S194" s="83"/>
      <c r="T194" s="83"/>
      <c r="U194" s="84"/>
      <c r="V194" s="82"/>
      <c r="W194" s="84"/>
      <c r="X194" s="82">
        <v>22</v>
      </c>
      <c r="Y194" s="83"/>
      <c r="Z194" s="83"/>
      <c r="AA194" s="83"/>
      <c r="AB194" s="84"/>
      <c r="AC194" s="82"/>
      <c r="AD194" s="84"/>
      <c r="AE194" s="82">
        <v>23</v>
      </c>
      <c r="AF194" s="83"/>
      <c r="AG194" s="83"/>
      <c r="AH194" s="83"/>
      <c r="AI194" s="84"/>
      <c r="AJ194" s="82"/>
      <c r="AK194" s="84"/>
      <c r="AL194" s="82">
        <v>22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46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46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55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37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39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26</v>
      </c>
      <c r="K196" s="83"/>
      <c r="L196" s="83"/>
      <c r="M196" s="83"/>
      <c r="N196" s="84"/>
      <c r="O196" s="82"/>
      <c r="P196" s="84"/>
      <c r="Q196" s="82">
        <v>24</v>
      </c>
      <c r="R196" s="83"/>
      <c r="S196" s="83"/>
      <c r="T196" s="83"/>
      <c r="U196" s="84"/>
      <c r="V196" s="82"/>
      <c r="W196" s="84"/>
      <c r="X196" s="82">
        <v>20</v>
      </c>
      <c r="Y196" s="83"/>
      <c r="Z196" s="83"/>
      <c r="AA196" s="83"/>
      <c r="AB196" s="84"/>
      <c r="AC196" s="82"/>
      <c r="AD196" s="84"/>
      <c r="AE196" s="82">
        <v>27</v>
      </c>
      <c r="AF196" s="83"/>
      <c r="AG196" s="83"/>
      <c r="AH196" s="83"/>
      <c r="AI196" s="84"/>
      <c r="AJ196" s="82"/>
      <c r="AK196" s="84"/>
      <c r="AL196" s="82">
        <v>24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10</v>
      </c>
      <c r="K197" s="83"/>
      <c r="L197" s="83"/>
      <c r="M197" s="83"/>
      <c r="N197" s="84"/>
      <c r="O197" s="82"/>
      <c r="P197" s="84"/>
      <c r="Q197" s="82">
        <v>17</v>
      </c>
      <c r="R197" s="83"/>
      <c r="S197" s="83"/>
      <c r="T197" s="83"/>
      <c r="U197" s="84"/>
      <c r="V197" s="82"/>
      <c r="W197" s="84"/>
      <c r="X197" s="82">
        <v>18</v>
      </c>
      <c r="Y197" s="83"/>
      <c r="Z197" s="83"/>
      <c r="AA197" s="83"/>
      <c r="AB197" s="84"/>
      <c r="AC197" s="82"/>
      <c r="AD197" s="84"/>
      <c r="AE197" s="82">
        <v>29</v>
      </c>
      <c r="AF197" s="83"/>
      <c r="AG197" s="83"/>
      <c r="AH197" s="83"/>
      <c r="AI197" s="84"/>
      <c r="AJ197" s="82"/>
      <c r="AK197" s="84"/>
      <c r="AL197" s="82">
        <v>20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36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41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38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56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44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2</v>
      </c>
      <c r="K199" s="83"/>
      <c r="L199" s="83"/>
      <c r="M199" s="83"/>
      <c r="N199" s="84"/>
      <c r="O199" s="82"/>
      <c r="P199" s="84"/>
      <c r="Q199" s="82">
        <v>3</v>
      </c>
      <c r="R199" s="83"/>
      <c r="S199" s="83"/>
      <c r="T199" s="83"/>
      <c r="U199" s="84"/>
      <c r="V199" s="82"/>
      <c r="W199" s="84"/>
      <c r="X199" s="82">
        <v>0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4</v>
      </c>
      <c r="K200" s="83"/>
      <c r="L200" s="83"/>
      <c r="M200" s="83"/>
      <c r="N200" s="84"/>
      <c r="O200" s="82"/>
      <c r="P200" s="84"/>
      <c r="Q200" s="82">
        <v>3</v>
      </c>
      <c r="R200" s="83"/>
      <c r="S200" s="83"/>
      <c r="T200" s="83"/>
      <c r="U200" s="84"/>
      <c r="V200" s="82"/>
      <c r="W200" s="84"/>
      <c r="X200" s="82">
        <v>0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6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6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0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0</v>
      </c>
      <c r="K202" s="83"/>
      <c r="L202" s="83"/>
      <c r="M202" s="83"/>
      <c r="N202" s="84"/>
      <c r="O202" s="82"/>
      <c r="P202" s="84"/>
      <c r="Q202" s="82">
        <v>0</v>
      </c>
      <c r="R202" s="83"/>
      <c r="S202" s="83"/>
      <c r="T202" s="83"/>
      <c r="U202" s="84"/>
      <c r="V202" s="82"/>
      <c r="W202" s="84"/>
      <c r="X202" s="82">
        <v>0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0</v>
      </c>
      <c r="K203" s="83"/>
      <c r="L203" s="83"/>
      <c r="M203" s="83"/>
      <c r="N203" s="84"/>
      <c r="O203" s="82"/>
      <c r="P203" s="84"/>
      <c r="Q203" s="82">
        <v>0</v>
      </c>
      <c r="R203" s="83"/>
      <c r="S203" s="83"/>
      <c r="T203" s="83"/>
      <c r="U203" s="84"/>
      <c r="V203" s="82"/>
      <c r="W203" s="84"/>
      <c r="X203" s="82">
        <v>0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0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0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0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0</v>
      </c>
      <c r="K205" s="83"/>
      <c r="L205" s="83"/>
      <c r="M205" s="83"/>
      <c r="N205" s="84"/>
      <c r="O205" s="82"/>
      <c r="P205" s="84"/>
      <c r="Q205" s="82">
        <v>0</v>
      </c>
      <c r="R205" s="83"/>
      <c r="S205" s="83"/>
      <c r="T205" s="83"/>
      <c r="U205" s="84"/>
      <c r="V205" s="82"/>
      <c r="W205" s="84"/>
      <c r="X205" s="82">
        <v>0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0</v>
      </c>
      <c r="K206" s="83"/>
      <c r="L206" s="83"/>
      <c r="M206" s="83"/>
      <c r="N206" s="84"/>
      <c r="O206" s="82"/>
      <c r="P206" s="84"/>
      <c r="Q206" s="82">
        <v>0</v>
      </c>
      <c r="R206" s="83"/>
      <c r="S206" s="83"/>
      <c r="T206" s="83"/>
      <c r="U206" s="84"/>
      <c r="V206" s="82"/>
      <c r="W206" s="84"/>
      <c r="X206" s="82">
        <v>0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0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0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0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0</v>
      </c>
      <c r="K208" s="83"/>
      <c r="L208" s="83"/>
      <c r="M208" s="83"/>
      <c r="N208" s="84"/>
      <c r="O208" s="82"/>
      <c r="P208" s="84"/>
      <c r="Q208" s="82">
        <v>0</v>
      </c>
      <c r="R208" s="83"/>
      <c r="S208" s="83"/>
      <c r="T208" s="83"/>
      <c r="U208" s="84"/>
      <c r="V208" s="82"/>
      <c r="W208" s="84"/>
      <c r="X208" s="82">
        <v>0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0</v>
      </c>
      <c r="K209" s="83"/>
      <c r="L209" s="83"/>
      <c r="M209" s="83"/>
      <c r="N209" s="84"/>
      <c r="O209" s="82"/>
      <c r="P209" s="84"/>
      <c r="Q209" s="82">
        <v>0</v>
      </c>
      <c r="R209" s="83"/>
      <c r="S209" s="83"/>
      <c r="T209" s="83"/>
      <c r="U209" s="84"/>
      <c r="V209" s="82"/>
      <c r="W209" s="84"/>
      <c r="X209" s="82">
        <v>0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0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0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0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0</v>
      </c>
      <c r="K211" s="83"/>
      <c r="L211" s="83"/>
      <c r="M211" s="83"/>
      <c r="N211" s="84"/>
      <c r="O211" s="82"/>
      <c r="P211" s="84"/>
      <c r="Q211" s="82">
        <v>0</v>
      </c>
      <c r="R211" s="83"/>
      <c r="S211" s="83"/>
      <c r="T211" s="83"/>
      <c r="U211" s="84"/>
      <c r="V211" s="82"/>
      <c r="W211" s="84"/>
      <c r="X211" s="82">
        <v>0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0</v>
      </c>
      <c r="K212" s="83"/>
      <c r="L212" s="83"/>
      <c r="M212" s="83"/>
      <c r="N212" s="84"/>
      <c r="O212" s="82"/>
      <c r="P212" s="84"/>
      <c r="Q212" s="82">
        <v>0</v>
      </c>
      <c r="R212" s="83"/>
      <c r="S212" s="83"/>
      <c r="T212" s="83"/>
      <c r="U212" s="84"/>
      <c r="V212" s="82"/>
      <c r="W212" s="84"/>
      <c r="X212" s="82">
        <v>0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0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0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0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0</v>
      </c>
      <c r="K214" s="83"/>
      <c r="L214" s="83"/>
      <c r="M214" s="83"/>
      <c r="N214" s="84"/>
      <c r="O214" s="82"/>
      <c r="P214" s="84"/>
      <c r="Q214" s="82">
        <v>0</v>
      </c>
      <c r="R214" s="83"/>
      <c r="S214" s="83"/>
      <c r="T214" s="83"/>
      <c r="U214" s="84"/>
      <c r="V214" s="82"/>
      <c r="W214" s="84"/>
      <c r="X214" s="82">
        <v>0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0</v>
      </c>
      <c r="K215" s="83"/>
      <c r="L215" s="83"/>
      <c r="M215" s="83"/>
      <c r="N215" s="84"/>
      <c r="O215" s="82"/>
      <c r="P215" s="84"/>
      <c r="Q215" s="82">
        <v>0</v>
      </c>
      <c r="R215" s="83"/>
      <c r="S215" s="83"/>
      <c r="T215" s="83"/>
      <c r="U215" s="84"/>
      <c r="V215" s="82"/>
      <c r="W215" s="84"/>
      <c r="X215" s="82">
        <v>0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0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0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0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53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51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53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41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41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35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42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40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52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42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88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93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93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93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83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21</v>
      </c>
      <c r="K229" s="97"/>
      <c r="L229" s="97"/>
      <c r="M229" s="97"/>
      <c r="N229" s="98"/>
      <c r="O229" s="82"/>
      <c r="P229" s="84"/>
      <c r="Q229" s="96">
        <v>35</v>
      </c>
      <c r="R229" s="97"/>
      <c r="S229" s="97"/>
      <c r="T229" s="97"/>
      <c r="U229" s="98"/>
      <c r="V229" s="82"/>
      <c r="W229" s="84"/>
      <c r="X229" s="96">
        <v>26</v>
      </c>
      <c r="Y229" s="97"/>
      <c r="Z229" s="97"/>
      <c r="AA229" s="97"/>
      <c r="AB229" s="98"/>
      <c r="AC229" s="82"/>
      <c r="AD229" s="84"/>
      <c r="AE229" s="96">
        <v>31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29</v>
      </c>
      <c r="K230" s="83"/>
      <c r="L230" s="83"/>
      <c r="M230" s="83"/>
      <c r="N230" s="84"/>
      <c r="O230" s="82"/>
      <c r="P230" s="84"/>
      <c r="Q230" s="82">
        <v>28</v>
      </c>
      <c r="R230" s="83"/>
      <c r="S230" s="83"/>
      <c r="T230" s="83"/>
      <c r="U230" s="84"/>
      <c r="V230" s="82"/>
      <c r="W230" s="84"/>
      <c r="X230" s="82">
        <v>23</v>
      </c>
      <c r="Y230" s="83"/>
      <c r="Z230" s="83"/>
      <c r="AA230" s="83"/>
      <c r="AB230" s="84"/>
      <c r="AC230" s="82"/>
      <c r="AD230" s="84"/>
      <c r="AE230" s="82">
        <v>30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50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63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49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61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29</v>
      </c>
      <c r="K232" s="97"/>
      <c r="L232" s="97"/>
      <c r="M232" s="97"/>
      <c r="N232" s="98"/>
      <c r="O232" s="82"/>
      <c r="P232" s="84"/>
      <c r="Q232" s="96">
        <v>25</v>
      </c>
      <c r="R232" s="97"/>
      <c r="S232" s="97"/>
      <c r="T232" s="97"/>
      <c r="U232" s="98"/>
      <c r="V232" s="82"/>
      <c r="W232" s="84"/>
      <c r="X232" s="96">
        <v>28</v>
      </c>
      <c r="Y232" s="97"/>
      <c r="Z232" s="97"/>
      <c r="AA232" s="97"/>
      <c r="AB232" s="98"/>
      <c r="AC232" s="82"/>
      <c r="AD232" s="84"/>
      <c r="AE232" s="96">
        <v>39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19</v>
      </c>
      <c r="K233" s="83"/>
      <c r="L233" s="83"/>
      <c r="M233" s="83"/>
      <c r="N233" s="84"/>
      <c r="O233" s="82"/>
      <c r="P233" s="84"/>
      <c r="Q233" s="82">
        <v>28</v>
      </c>
      <c r="R233" s="83"/>
      <c r="S233" s="83"/>
      <c r="T233" s="83"/>
      <c r="U233" s="84"/>
      <c r="V233" s="82"/>
      <c r="W233" s="84"/>
      <c r="X233" s="82">
        <v>25</v>
      </c>
      <c r="Y233" s="83"/>
      <c r="Z233" s="83"/>
      <c r="AA233" s="83"/>
      <c r="AB233" s="84"/>
      <c r="AC233" s="82"/>
      <c r="AD233" s="84"/>
      <c r="AE233" s="82">
        <v>22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48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53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53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61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1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0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3</v>
      </c>
      <c r="K236" s="83"/>
      <c r="L236" s="83"/>
      <c r="M236" s="83"/>
      <c r="N236" s="84"/>
      <c r="O236" s="82"/>
      <c r="P236" s="84"/>
      <c r="Q236" s="82">
        <v>2</v>
      </c>
      <c r="R236" s="83"/>
      <c r="S236" s="83"/>
      <c r="T236" s="83"/>
      <c r="U236" s="84"/>
      <c r="V236" s="82"/>
      <c r="W236" s="84"/>
      <c r="X236" s="82">
        <v>2</v>
      </c>
      <c r="Y236" s="83"/>
      <c r="Z236" s="83"/>
      <c r="AA236" s="83"/>
      <c r="AB236" s="84"/>
      <c r="AC236" s="82"/>
      <c r="AD236" s="84"/>
      <c r="AE236" s="82">
        <v>0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4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4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2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2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0</v>
      </c>
      <c r="K238" s="97"/>
      <c r="L238" s="97"/>
      <c r="M238" s="97"/>
      <c r="N238" s="98"/>
      <c r="O238" s="82"/>
      <c r="P238" s="84"/>
      <c r="Q238" s="96">
        <v>0</v>
      </c>
      <c r="R238" s="97"/>
      <c r="S238" s="97"/>
      <c r="T238" s="97"/>
      <c r="U238" s="98"/>
      <c r="V238" s="82"/>
      <c r="W238" s="84"/>
      <c r="X238" s="96">
        <v>0</v>
      </c>
      <c r="Y238" s="97"/>
      <c r="Z238" s="97"/>
      <c r="AA238" s="97"/>
      <c r="AB238" s="98"/>
      <c r="AC238" s="82"/>
      <c r="AD238" s="84"/>
      <c r="AE238" s="96">
        <v>0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0</v>
      </c>
      <c r="K239" s="83"/>
      <c r="L239" s="83"/>
      <c r="M239" s="83"/>
      <c r="N239" s="84"/>
      <c r="O239" s="82"/>
      <c r="P239" s="84"/>
      <c r="Q239" s="82">
        <v>0</v>
      </c>
      <c r="R239" s="83"/>
      <c r="S239" s="83"/>
      <c r="T239" s="83"/>
      <c r="U239" s="84"/>
      <c r="V239" s="82"/>
      <c r="W239" s="84"/>
      <c r="X239" s="82">
        <v>0</v>
      </c>
      <c r="Y239" s="83"/>
      <c r="Z239" s="83"/>
      <c r="AA239" s="83"/>
      <c r="AB239" s="84"/>
      <c r="AC239" s="82"/>
      <c r="AD239" s="84"/>
      <c r="AE239" s="82">
        <v>0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0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0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0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0</v>
      </c>
      <c r="K241" s="97"/>
      <c r="L241" s="97"/>
      <c r="M241" s="97"/>
      <c r="N241" s="98"/>
      <c r="O241" s="82"/>
      <c r="P241" s="84"/>
      <c r="Q241" s="96">
        <v>0</v>
      </c>
      <c r="R241" s="97"/>
      <c r="S241" s="97"/>
      <c r="T241" s="97"/>
      <c r="U241" s="98"/>
      <c r="V241" s="82"/>
      <c r="W241" s="84"/>
      <c r="X241" s="96">
        <v>0</v>
      </c>
      <c r="Y241" s="97"/>
      <c r="Z241" s="97"/>
      <c r="AA241" s="97"/>
      <c r="AB241" s="98"/>
      <c r="AC241" s="82"/>
      <c r="AD241" s="84"/>
      <c r="AE241" s="96">
        <v>0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0</v>
      </c>
      <c r="K242" s="83"/>
      <c r="L242" s="83"/>
      <c r="M242" s="83"/>
      <c r="N242" s="84"/>
      <c r="O242" s="82"/>
      <c r="P242" s="84"/>
      <c r="Q242" s="82">
        <v>0</v>
      </c>
      <c r="R242" s="83"/>
      <c r="S242" s="83"/>
      <c r="T242" s="83"/>
      <c r="U242" s="84"/>
      <c r="V242" s="82"/>
      <c r="W242" s="84"/>
      <c r="X242" s="82">
        <v>0</v>
      </c>
      <c r="Y242" s="83"/>
      <c r="Z242" s="83"/>
      <c r="AA242" s="83"/>
      <c r="AB242" s="84"/>
      <c r="AC242" s="82"/>
      <c r="AD242" s="84"/>
      <c r="AE242" s="82">
        <v>0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0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0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0</v>
      </c>
      <c r="K244" s="97"/>
      <c r="L244" s="97"/>
      <c r="M244" s="97"/>
      <c r="N244" s="98"/>
      <c r="O244" s="82"/>
      <c r="P244" s="84"/>
      <c r="Q244" s="96">
        <v>0</v>
      </c>
      <c r="R244" s="97"/>
      <c r="S244" s="97"/>
      <c r="T244" s="97"/>
      <c r="U244" s="98"/>
      <c r="V244" s="82"/>
      <c r="W244" s="84"/>
      <c r="X244" s="96">
        <v>0</v>
      </c>
      <c r="Y244" s="97"/>
      <c r="Z244" s="97"/>
      <c r="AA244" s="97"/>
      <c r="AB244" s="98"/>
      <c r="AC244" s="82"/>
      <c r="AD244" s="84"/>
      <c r="AE244" s="96">
        <v>0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0</v>
      </c>
      <c r="K245" s="83"/>
      <c r="L245" s="83"/>
      <c r="M245" s="83"/>
      <c r="N245" s="84"/>
      <c r="O245" s="82"/>
      <c r="P245" s="84"/>
      <c r="Q245" s="82">
        <v>0</v>
      </c>
      <c r="R245" s="83"/>
      <c r="S245" s="83"/>
      <c r="T245" s="83"/>
      <c r="U245" s="84"/>
      <c r="V245" s="82"/>
      <c r="W245" s="84"/>
      <c r="X245" s="82">
        <v>0</v>
      </c>
      <c r="Y245" s="83"/>
      <c r="Z245" s="83"/>
      <c r="AA245" s="83"/>
      <c r="AB245" s="84"/>
      <c r="AC245" s="82"/>
      <c r="AD245" s="84"/>
      <c r="AE245" s="82">
        <v>0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0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0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0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0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0</v>
      </c>
      <c r="K247" s="97"/>
      <c r="L247" s="97"/>
      <c r="M247" s="97"/>
      <c r="N247" s="98"/>
      <c r="O247" s="82"/>
      <c r="P247" s="84"/>
      <c r="Q247" s="96">
        <v>0</v>
      </c>
      <c r="R247" s="97"/>
      <c r="S247" s="97"/>
      <c r="T247" s="97"/>
      <c r="U247" s="98"/>
      <c r="V247" s="82"/>
      <c r="W247" s="84"/>
      <c r="X247" s="96">
        <v>0</v>
      </c>
      <c r="Y247" s="97"/>
      <c r="Z247" s="97"/>
      <c r="AA247" s="97"/>
      <c r="AB247" s="98"/>
      <c r="AC247" s="82"/>
      <c r="AD247" s="84"/>
      <c r="AE247" s="96">
        <v>0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0</v>
      </c>
      <c r="K248" s="83"/>
      <c r="L248" s="83"/>
      <c r="M248" s="83"/>
      <c r="N248" s="84"/>
      <c r="O248" s="82"/>
      <c r="P248" s="84"/>
      <c r="Q248" s="82">
        <v>0</v>
      </c>
      <c r="R248" s="83"/>
      <c r="S248" s="83"/>
      <c r="T248" s="83"/>
      <c r="U248" s="84"/>
      <c r="V248" s="82"/>
      <c r="W248" s="84"/>
      <c r="X248" s="82">
        <v>0</v>
      </c>
      <c r="Y248" s="83"/>
      <c r="Z248" s="83"/>
      <c r="AA248" s="83"/>
      <c r="AB248" s="84"/>
      <c r="AC248" s="82"/>
      <c r="AD248" s="84"/>
      <c r="AE248" s="82">
        <v>0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0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0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0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0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0</v>
      </c>
      <c r="K250" s="97"/>
      <c r="L250" s="97"/>
      <c r="M250" s="97"/>
      <c r="N250" s="98"/>
      <c r="O250" s="82"/>
      <c r="P250" s="84"/>
      <c r="Q250" s="96">
        <v>0</v>
      </c>
      <c r="R250" s="97"/>
      <c r="S250" s="97"/>
      <c r="T250" s="97"/>
      <c r="U250" s="98"/>
      <c r="V250" s="82"/>
      <c r="W250" s="84"/>
      <c r="X250" s="96">
        <v>0</v>
      </c>
      <c r="Y250" s="97"/>
      <c r="Z250" s="97"/>
      <c r="AA250" s="97"/>
      <c r="AB250" s="98"/>
      <c r="AC250" s="82"/>
      <c r="AD250" s="84"/>
      <c r="AE250" s="96">
        <v>0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0</v>
      </c>
      <c r="K251" s="83"/>
      <c r="L251" s="83"/>
      <c r="M251" s="83"/>
      <c r="N251" s="84"/>
      <c r="O251" s="82"/>
      <c r="P251" s="84"/>
      <c r="Q251" s="82">
        <v>0</v>
      </c>
      <c r="R251" s="83"/>
      <c r="S251" s="83"/>
      <c r="T251" s="83"/>
      <c r="U251" s="84"/>
      <c r="V251" s="82"/>
      <c r="W251" s="84"/>
      <c r="X251" s="82">
        <v>0</v>
      </c>
      <c r="Y251" s="83"/>
      <c r="Z251" s="83"/>
      <c r="AA251" s="83"/>
      <c r="AB251" s="84"/>
      <c r="AC251" s="82"/>
      <c r="AD251" s="84"/>
      <c r="AE251" s="82">
        <v>0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0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0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0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51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62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54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72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51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58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50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52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102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120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104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124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113</v>
      </c>
      <c r="K263" s="124"/>
      <c r="L263" s="124"/>
      <c r="M263" s="124"/>
      <c r="N263" s="125"/>
      <c r="O263" s="165">
        <v>113</v>
      </c>
      <c r="P263" s="124"/>
      <c r="Q263" s="124"/>
      <c r="R263" s="124"/>
      <c r="S263" s="125"/>
      <c r="T263" s="165"/>
      <c r="U263" s="125"/>
      <c r="V263" s="165">
        <v>61</v>
      </c>
      <c r="W263" s="124"/>
      <c r="X263" s="124"/>
      <c r="Y263" s="124"/>
      <c r="Z263" s="125"/>
      <c r="AA263" s="165"/>
      <c r="AB263" s="125"/>
      <c r="AC263" s="165">
        <v>60</v>
      </c>
      <c r="AD263" s="124"/>
      <c r="AE263" s="124"/>
      <c r="AF263" s="124"/>
      <c r="AG263" s="125"/>
      <c r="AH263" s="165"/>
      <c r="AI263" s="125"/>
      <c r="AJ263" s="165">
        <v>55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110</v>
      </c>
      <c r="K264" s="124"/>
      <c r="L264" s="124"/>
      <c r="M264" s="124"/>
      <c r="N264" s="125"/>
      <c r="O264" s="165">
        <v>110</v>
      </c>
      <c r="P264" s="124"/>
      <c r="Q264" s="124"/>
      <c r="R264" s="124"/>
      <c r="S264" s="125"/>
      <c r="T264" s="165"/>
      <c r="U264" s="125"/>
      <c r="V264" s="165">
        <v>55</v>
      </c>
      <c r="W264" s="124"/>
      <c r="X264" s="124"/>
      <c r="Y264" s="124"/>
      <c r="Z264" s="125"/>
      <c r="AA264" s="165"/>
      <c r="AB264" s="125"/>
      <c r="AC264" s="165">
        <v>57</v>
      </c>
      <c r="AD264" s="124"/>
      <c r="AE264" s="124"/>
      <c r="AF264" s="124"/>
      <c r="AG264" s="125"/>
      <c r="AH264" s="165"/>
      <c r="AI264" s="125"/>
      <c r="AJ264" s="165">
        <v>62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223</v>
      </c>
      <c r="K265" s="124"/>
      <c r="L265" s="124"/>
      <c r="M265" s="124"/>
      <c r="N265" s="125"/>
      <c r="O265" s="165">
        <f>SUM(O263:S264)</f>
        <v>223</v>
      </c>
      <c r="P265" s="124"/>
      <c r="Q265" s="124"/>
      <c r="R265" s="124"/>
      <c r="S265" s="125"/>
      <c r="T265" s="165">
        <f>SUM(T263:X264)</f>
        <v>116</v>
      </c>
      <c r="U265" s="125"/>
      <c r="V265" s="165">
        <f>SUM(V263:Z264)</f>
        <v>116</v>
      </c>
      <c r="W265" s="124"/>
      <c r="X265" s="124"/>
      <c r="Y265" s="124"/>
      <c r="Z265" s="125"/>
      <c r="AA265" s="165">
        <f>SUM(AA263:AE264)</f>
        <v>117</v>
      </c>
      <c r="AB265" s="125"/>
      <c r="AC265" s="165">
        <f>SUM(AC263:AG264)</f>
        <v>117</v>
      </c>
      <c r="AD265" s="124"/>
      <c r="AE265" s="124"/>
      <c r="AF265" s="124"/>
      <c r="AG265" s="125"/>
      <c r="AH265" s="165">
        <f>SUM(AH263:AL264)</f>
        <v>117</v>
      </c>
      <c r="AI265" s="125"/>
      <c r="AJ265" s="165">
        <f>SUM(AJ263:AN264)</f>
        <v>117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121</v>
      </c>
      <c r="K266" s="124"/>
      <c r="L266" s="124"/>
      <c r="M266" s="124"/>
      <c r="N266" s="125"/>
      <c r="O266" s="165">
        <v>121</v>
      </c>
      <c r="P266" s="124"/>
      <c r="Q266" s="124"/>
      <c r="R266" s="124"/>
      <c r="S266" s="125"/>
      <c r="T266" s="165"/>
      <c r="U266" s="125"/>
      <c r="V266" s="165">
        <v>58</v>
      </c>
      <c r="W266" s="124"/>
      <c r="X266" s="124"/>
      <c r="Y266" s="124"/>
      <c r="Z266" s="125"/>
      <c r="AA266" s="165"/>
      <c r="AB266" s="125"/>
      <c r="AC266" s="165">
        <v>60</v>
      </c>
      <c r="AD266" s="124"/>
      <c r="AE266" s="124"/>
      <c r="AF266" s="124"/>
      <c r="AG266" s="125"/>
      <c r="AH266" s="165"/>
      <c r="AI266" s="125"/>
      <c r="AJ266" s="165">
        <v>63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94</v>
      </c>
      <c r="K267" s="124"/>
      <c r="L267" s="124"/>
      <c r="M267" s="124"/>
      <c r="N267" s="125"/>
      <c r="O267" s="165">
        <v>94</v>
      </c>
      <c r="P267" s="124"/>
      <c r="Q267" s="124"/>
      <c r="R267" s="124"/>
      <c r="S267" s="125"/>
      <c r="T267" s="165"/>
      <c r="U267" s="125"/>
      <c r="V267" s="165">
        <v>51</v>
      </c>
      <c r="W267" s="124"/>
      <c r="X267" s="124"/>
      <c r="Y267" s="124"/>
      <c r="Z267" s="125"/>
      <c r="AA267" s="165"/>
      <c r="AB267" s="125"/>
      <c r="AC267" s="165">
        <v>55</v>
      </c>
      <c r="AD267" s="124"/>
      <c r="AE267" s="124"/>
      <c r="AF267" s="124"/>
      <c r="AG267" s="125"/>
      <c r="AH267" s="165"/>
      <c r="AI267" s="125"/>
      <c r="AJ267" s="165">
        <v>46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215</v>
      </c>
      <c r="K268" s="124"/>
      <c r="L268" s="124"/>
      <c r="M268" s="124"/>
      <c r="N268" s="125"/>
      <c r="O268" s="165">
        <f>SUM(O266:S267)</f>
        <v>215</v>
      </c>
      <c r="P268" s="124"/>
      <c r="Q268" s="124"/>
      <c r="R268" s="124"/>
      <c r="S268" s="125"/>
      <c r="T268" s="165">
        <f>SUM(T266:X267)</f>
        <v>109</v>
      </c>
      <c r="U268" s="125"/>
      <c r="V268" s="165">
        <f>SUM(V266:Z267)</f>
        <v>109</v>
      </c>
      <c r="W268" s="124"/>
      <c r="X268" s="124"/>
      <c r="Y268" s="124"/>
      <c r="Z268" s="125"/>
      <c r="AA268" s="165">
        <f>SUM(AA266:AE267)</f>
        <v>115</v>
      </c>
      <c r="AB268" s="125"/>
      <c r="AC268" s="165">
        <f>SUM(AC266:AG267)</f>
        <v>115</v>
      </c>
      <c r="AD268" s="124"/>
      <c r="AE268" s="124"/>
      <c r="AF268" s="124"/>
      <c r="AG268" s="125"/>
      <c r="AH268" s="165">
        <f>SUM(AH266:AL267)</f>
        <v>109</v>
      </c>
      <c r="AI268" s="125"/>
      <c r="AJ268" s="165">
        <f>SUM(AJ266:AN267)</f>
        <v>109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5</v>
      </c>
      <c r="K269" s="124"/>
      <c r="L269" s="124"/>
      <c r="M269" s="124"/>
      <c r="N269" s="125"/>
      <c r="O269" s="165">
        <v>5</v>
      </c>
      <c r="P269" s="124"/>
      <c r="Q269" s="124"/>
      <c r="R269" s="124"/>
      <c r="S269" s="125"/>
      <c r="T269" s="165"/>
      <c r="U269" s="125"/>
      <c r="V269" s="165">
        <v>1</v>
      </c>
      <c r="W269" s="124"/>
      <c r="X269" s="124"/>
      <c r="Y269" s="124"/>
      <c r="Z269" s="125"/>
      <c r="AA269" s="165"/>
      <c r="AB269" s="125"/>
      <c r="AC269" s="165">
        <v>4</v>
      </c>
      <c r="AD269" s="124"/>
      <c r="AE269" s="124"/>
      <c r="AF269" s="124"/>
      <c r="AG269" s="125"/>
      <c r="AH269" s="165"/>
      <c r="AI269" s="125"/>
      <c r="AJ269" s="165">
        <v>3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7</v>
      </c>
      <c r="K270" s="124"/>
      <c r="L270" s="124"/>
      <c r="M270" s="124"/>
      <c r="N270" s="125"/>
      <c r="O270" s="165">
        <v>7</v>
      </c>
      <c r="P270" s="124"/>
      <c r="Q270" s="124"/>
      <c r="R270" s="124"/>
      <c r="S270" s="125"/>
      <c r="T270" s="165"/>
      <c r="U270" s="125"/>
      <c r="V270" s="165">
        <v>2</v>
      </c>
      <c r="W270" s="124"/>
      <c r="X270" s="124"/>
      <c r="Y270" s="124"/>
      <c r="Z270" s="125"/>
      <c r="AA270" s="165"/>
      <c r="AB270" s="125"/>
      <c r="AC270" s="165">
        <v>3</v>
      </c>
      <c r="AD270" s="124"/>
      <c r="AE270" s="124"/>
      <c r="AF270" s="124"/>
      <c r="AG270" s="125"/>
      <c r="AH270" s="165"/>
      <c r="AI270" s="125"/>
      <c r="AJ270" s="165">
        <v>4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12</v>
      </c>
      <c r="K271" s="124"/>
      <c r="L271" s="124"/>
      <c r="M271" s="124"/>
      <c r="N271" s="125"/>
      <c r="O271" s="165">
        <f>SUM(O269:S270)</f>
        <v>12</v>
      </c>
      <c r="P271" s="124"/>
      <c r="Q271" s="124"/>
      <c r="R271" s="124"/>
      <c r="S271" s="125"/>
      <c r="T271" s="165">
        <f>SUM(T269:X270)</f>
        <v>3</v>
      </c>
      <c r="U271" s="125"/>
      <c r="V271" s="165">
        <f>SUM(V269:Z270)</f>
        <v>3</v>
      </c>
      <c r="W271" s="124"/>
      <c r="X271" s="124"/>
      <c r="Y271" s="124"/>
      <c r="Z271" s="125"/>
      <c r="AA271" s="165">
        <f>SUM(AA269:AE270)</f>
        <v>7</v>
      </c>
      <c r="AB271" s="125"/>
      <c r="AC271" s="165">
        <f>SUM(AC269:AG270)</f>
        <v>7</v>
      </c>
      <c r="AD271" s="124"/>
      <c r="AE271" s="124"/>
      <c r="AF271" s="124"/>
      <c r="AG271" s="125"/>
      <c r="AH271" s="165">
        <f>SUM(AH269:AL270)</f>
        <v>7</v>
      </c>
      <c r="AI271" s="125"/>
      <c r="AJ271" s="165">
        <f>SUM(AJ269:AN270)</f>
        <v>7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0</v>
      </c>
      <c r="K272" s="124"/>
      <c r="L272" s="124"/>
      <c r="M272" s="124"/>
      <c r="N272" s="125"/>
      <c r="O272" s="165">
        <v>0</v>
      </c>
      <c r="P272" s="124"/>
      <c r="Q272" s="124"/>
      <c r="R272" s="124"/>
      <c r="S272" s="125"/>
      <c r="T272" s="165"/>
      <c r="U272" s="125"/>
      <c r="V272" s="165">
        <v>0</v>
      </c>
      <c r="W272" s="124"/>
      <c r="X272" s="124"/>
      <c r="Y272" s="124"/>
      <c r="Z272" s="125"/>
      <c r="AA272" s="165"/>
      <c r="AB272" s="125"/>
      <c r="AC272" s="165">
        <v>0</v>
      </c>
      <c r="AD272" s="124"/>
      <c r="AE272" s="124"/>
      <c r="AF272" s="124"/>
      <c r="AG272" s="125"/>
      <c r="AH272" s="165"/>
      <c r="AI272" s="125"/>
      <c r="AJ272" s="165">
        <v>0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0</v>
      </c>
      <c r="K273" s="124"/>
      <c r="L273" s="124"/>
      <c r="M273" s="124"/>
      <c r="N273" s="125"/>
      <c r="O273" s="165">
        <v>0</v>
      </c>
      <c r="P273" s="124"/>
      <c r="Q273" s="124"/>
      <c r="R273" s="124"/>
      <c r="S273" s="125"/>
      <c r="T273" s="165"/>
      <c r="U273" s="125"/>
      <c r="V273" s="165">
        <v>0</v>
      </c>
      <c r="W273" s="124"/>
      <c r="X273" s="124"/>
      <c r="Y273" s="124"/>
      <c r="Z273" s="125"/>
      <c r="AA273" s="165"/>
      <c r="AB273" s="125"/>
      <c r="AC273" s="165">
        <v>0</v>
      </c>
      <c r="AD273" s="124"/>
      <c r="AE273" s="124"/>
      <c r="AF273" s="124"/>
      <c r="AG273" s="125"/>
      <c r="AH273" s="165"/>
      <c r="AI273" s="125"/>
      <c r="AJ273" s="165">
        <v>0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0</v>
      </c>
      <c r="K274" s="124"/>
      <c r="L274" s="124"/>
      <c r="M274" s="124"/>
      <c r="N274" s="125"/>
      <c r="O274" s="165">
        <f>SUM(O272:S273)</f>
        <v>0</v>
      </c>
      <c r="P274" s="124"/>
      <c r="Q274" s="124"/>
      <c r="R274" s="124"/>
      <c r="S274" s="125"/>
      <c r="T274" s="165">
        <f>SUM(T272:X273)</f>
        <v>0</v>
      </c>
      <c r="U274" s="125"/>
      <c r="V274" s="165">
        <f>SUM(V272:Z273)</f>
        <v>0</v>
      </c>
      <c r="W274" s="124"/>
      <c r="X274" s="124"/>
      <c r="Y274" s="124"/>
      <c r="Z274" s="125"/>
      <c r="AA274" s="165">
        <f>SUM(AA272:AE273)</f>
        <v>0</v>
      </c>
      <c r="AB274" s="125"/>
      <c r="AC274" s="165">
        <f>SUM(AC272:AG273)</f>
        <v>0</v>
      </c>
      <c r="AD274" s="124"/>
      <c r="AE274" s="124"/>
      <c r="AF274" s="124"/>
      <c r="AG274" s="125"/>
      <c r="AH274" s="165">
        <f>SUM(AH272:AL273)</f>
        <v>0</v>
      </c>
      <c r="AI274" s="125"/>
      <c r="AJ274" s="165">
        <f>SUM(AJ272:AN273)</f>
        <v>0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0</v>
      </c>
      <c r="K275" s="124"/>
      <c r="L275" s="124"/>
      <c r="M275" s="124"/>
      <c r="N275" s="125"/>
      <c r="O275" s="165">
        <v>0</v>
      </c>
      <c r="P275" s="124"/>
      <c r="Q275" s="124"/>
      <c r="R275" s="124"/>
      <c r="S275" s="125"/>
      <c r="T275" s="165"/>
      <c r="U275" s="125"/>
      <c r="V275" s="165">
        <v>0</v>
      </c>
      <c r="W275" s="124"/>
      <c r="X275" s="124"/>
      <c r="Y275" s="124"/>
      <c r="Z275" s="125"/>
      <c r="AA275" s="165"/>
      <c r="AB275" s="125"/>
      <c r="AC275" s="165">
        <v>0</v>
      </c>
      <c r="AD275" s="124"/>
      <c r="AE275" s="124"/>
      <c r="AF275" s="124"/>
      <c r="AG275" s="125"/>
      <c r="AH275" s="165"/>
      <c r="AI275" s="125"/>
      <c r="AJ275" s="165">
        <v>0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0</v>
      </c>
      <c r="K276" s="124"/>
      <c r="L276" s="124"/>
      <c r="M276" s="124"/>
      <c r="N276" s="125"/>
      <c r="O276" s="165">
        <v>0</v>
      </c>
      <c r="P276" s="124"/>
      <c r="Q276" s="124"/>
      <c r="R276" s="124"/>
      <c r="S276" s="125"/>
      <c r="T276" s="165"/>
      <c r="U276" s="125"/>
      <c r="V276" s="165">
        <v>0</v>
      </c>
      <c r="W276" s="124"/>
      <c r="X276" s="124"/>
      <c r="Y276" s="124"/>
      <c r="Z276" s="125"/>
      <c r="AA276" s="165"/>
      <c r="AB276" s="125"/>
      <c r="AC276" s="165">
        <v>0</v>
      </c>
      <c r="AD276" s="124"/>
      <c r="AE276" s="124"/>
      <c r="AF276" s="124"/>
      <c r="AG276" s="125"/>
      <c r="AH276" s="165"/>
      <c r="AI276" s="125"/>
      <c r="AJ276" s="165">
        <v>0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0</v>
      </c>
      <c r="K277" s="124"/>
      <c r="L277" s="124"/>
      <c r="M277" s="124"/>
      <c r="N277" s="125"/>
      <c r="O277" s="165">
        <f>SUM(O275:S276)</f>
        <v>0</v>
      </c>
      <c r="P277" s="124"/>
      <c r="Q277" s="124"/>
      <c r="R277" s="124"/>
      <c r="S277" s="125"/>
      <c r="T277" s="165">
        <f>SUM(T275:X276)</f>
        <v>0</v>
      </c>
      <c r="U277" s="125"/>
      <c r="V277" s="165">
        <f>SUM(V275:Z276)</f>
        <v>0</v>
      </c>
      <c r="W277" s="124"/>
      <c r="X277" s="124"/>
      <c r="Y277" s="124"/>
      <c r="Z277" s="125"/>
      <c r="AA277" s="165">
        <f>SUM(AA275:AE276)</f>
        <v>0</v>
      </c>
      <c r="AB277" s="125"/>
      <c r="AC277" s="165">
        <f>SUM(AC275:AG276)</f>
        <v>0</v>
      </c>
      <c r="AD277" s="124"/>
      <c r="AE277" s="124"/>
      <c r="AF277" s="124"/>
      <c r="AG277" s="125"/>
      <c r="AH277" s="165">
        <f>SUM(AH275:AL276)</f>
        <v>0</v>
      </c>
      <c r="AI277" s="125"/>
      <c r="AJ277" s="165">
        <f>SUM(AJ275:AN276)</f>
        <v>0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0</v>
      </c>
      <c r="K278" s="124"/>
      <c r="L278" s="124"/>
      <c r="M278" s="124"/>
      <c r="N278" s="125"/>
      <c r="O278" s="165">
        <v>0</v>
      </c>
      <c r="P278" s="124"/>
      <c r="Q278" s="124"/>
      <c r="R278" s="124"/>
      <c r="S278" s="125"/>
      <c r="T278" s="165"/>
      <c r="U278" s="125"/>
      <c r="V278" s="165">
        <v>0</v>
      </c>
      <c r="W278" s="124"/>
      <c r="X278" s="124"/>
      <c r="Y278" s="124"/>
      <c r="Z278" s="125"/>
      <c r="AA278" s="165"/>
      <c r="AB278" s="125"/>
      <c r="AC278" s="165">
        <v>0</v>
      </c>
      <c r="AD278" s="124"/>
      <c r="AE278" s="124"/>
      <c r="AF278" s="124"/>
      <c r="AG278" s="125"/>
      <c r="AH278" s="165"/>
      <c r="AI278" s="125"/>
      <c r="AJ278" s="165">
        <v>0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0</v>
      </c>
      <c r="K279" s="124"/>
      <c r="L279" s="124"/>
      <c r="M279" s="124"/>
      <c r="N279" s="125"/>
      <c r="O279" s="165">
        <v>0</v>
      </c>
      <c r="P279" s="124"/>
      <c r="Q279" s="124"/>
      <c r="R279" s="124"/>
      <c r="S279" s="125"/>
      <c r="T279" s="165"/>
      <c r="U279" s="125"/>
      <c r="V279" s="165">
        <v>0</v>
      </c>
      <c r="W279" s="124"/>
      <c r="X279" s="124"/>
      <c r="Y279" s="124"/>
      <c r="Z279" s="125"/>
      <c r="AA279" s="165"/>
      <c r="AB279" s="125"/>
      <c r="AC279" s="165">
        <v>0</v>
      </c>
      <c r="AD279" s="124"/>
      <c r="AE279" s="124"/>
      <c r="AF279" s="124"/>
      <c r="AG279" s="125"/>
      <c r="AH279" s="165"/>
      <c r="AI279" s="125"/>
      <c r="AJ279" s="165">
        <v>0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0</v>
      </c>
      <c r="K280" s="124"/>
      <c r="L280" s="124"/>
      <c r="M280" s="124"/>
      <c r="N280" s="125"/>
      <c r="O280" s="165">
        <f>SUM(O278:S279)</f>
        <v>0</v>
      </c>
      <c r="P280" s="124"/>
      <c r="Q280" s="124"/>
      <c r="R280" s="124"/>
      <c r="S280" s="125"/>
      <c r="T280" s="165">
        <f>SUM(T278:X279)</f>
        <v>0</v>
      </c>
      <c r="U280" s="125"/>
      <c r="V280" s="165">
        <f>SUM(V278:Z279)</f>
        <v>0</v>
      </c>
      <c r="W280" s="124"/>
      <c r="X280" s="124"/>
      <c r="Y280" s="124"/>
      <c r="Z280" s="125"/>
      <c r="AA280" s="165">
        <f>SUM(AA278:AE279)</f>
        <v>0</v>
      </c>
      <c r="AB280" s="125"/>
      <c r="AC280" s="165">
        <f>SUM(AC278:AG279)</f>
        <v>0</v>
      </c>
      <c r="AD280" s="124"/>
      <c r="AE280" s="124"/>
      <c r="AF280" s="124"/>
      <c r="AG280" s="125"/>
      <c r="AH280" s="165">
        <f>SUM(AH278:AL279)</f>
        <v>0</v>
      </c>
      <c r="AI280" s="125"/>
      <c r="AJ280" s="165">
        <f>SUM(AJ278:AN279)</f>
        <v>0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0</v>
      </c>
      <c r="K281" s="124"/>
      <c r="L281" s="124"/>
      <c r="M281" s="124"/>
      <c r="N281" s="125"/>
      <c r="O281" s="165">
        <v>0</v>
      </c>
      <c r="P281" s="124"/>
      <c r="Q281" s="124"/>
      <c r="R281" s="124"/>
      <c r="S281" s="125"/>
      <c r="T281" s="165"/>
      <c r="U281" s="125"/>
      <c r="V281" s="165">
        <v>0</v>
      </c>
      <c r="W281" s="124"/>
      <c r="X281" s="124"/>
      <c r="Y281" s="124"/>
      <c r="Z281" s="125"/>
      <c r="AA281" s="165"/>
      <c r="AB281" s="125"/>
      <c r="AC281" s="165">
        <v>0</v>
      </c>
      <c r="AD281" s="124"/>
      <c r="AE281" s="124"/>
      <c r="AF281" s="124"/>
      <c r="AG281" s="125"/>
      <c r="AH281" s="165"/>
      <c r="AI281" s="125"/>
      <c r="AJ281" s="165">
        <v>0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0</v>
      </c>
      <c r="K282" s="124"/>
      <c r="L282" s="124"/>
      <c r="M282" s="124"/>
      <c r="N282" s="125"/>
      <c r="O282" s="165">
        <v>0</v>
      </c>
      <c r="P282" s="124"/>
      <c r="Q282" s="124"/>
      <c r="R282" s="124"/>
      <c r="S282" s="125"/>
      <c r="T282" s="165"/>
      <c r="U282" s="125"/>
      <c r="V282" s="165">
        <v>0</v>
      </c>
      <c r="W282" s="124"/>
      <c r="X282" s="124"/>
      <c r="Y282" s="124"/>
      <c r="Z282" s="125"/>
      <c r="AA282" s="165"/>
      <c r="AB282" s="125"/>
      <c r="AC282" s="165">
        <v>0</v>
      </c>
      <c r="AD282" s="124"/>
      <c r="AE282" s="124"/>
      <c r="AF282" s="124"/>
      <c r="AG282" s="125"/>
      <c r="AH282" s="165"/>
      <c r="AI282" s="125"/>
      <c r="AJ282" s="165">
        <v>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0</v>
      </c>
      <c r="K283" s="124"/>
      <c r="L283" s="124"/>
      <c r="M283" s="124"/>
      <c r="N283" s="125"/>
      <c r="O283" s="165">
        <f>SUM(O281:S282)</f>
        <v>0</v>
      </c>
      <c r="P283" s="124"/>
      <c r="Q283" s="124"/>
      <c r="R283" s="124"/>
      <c r="S283" s="125"/>
      <c r="T283" s="165">
        <f>SUM(T281:X282)</f>
        <v>0</v>
      </c>
      <c r="U283" s="125"/>
      <c r="V283" s="165">
        <f>SUM(V281:Z282)</f>
        <v>0</v>
      </c>
      <c r="W283" s="124"/>
      <c r="X283" s="124"/>
      <c r="Y283" s="124"/>
      <c r="Z283" s="125"/>
      <c r="AA283" s="165">
        <f>SUM(AA281:AE282)</f>
        <v>0</v>
      </c>
      <c r="AB283" s="125"/>
      <c r="AC283" s="165">
        <f>SUM(AC281:AG282)</f>
        <v>0</v>
      </c>
      <c r="AD283" s="124"/>
      <c r="AE283" s="124"/>
      <c r="AF283" s="124"/>
      <c r="AG283" s="125"/>
      <c r="AH283" s="165">
        <f>SUM(AH281:AL282)</f>
        <v>0</v>
      </c>
      <c r="AI283" s="125"/>
      <c r="AJ283" s="165">
        <f>SUM(AJ281:AN282)</f>
        <v>0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0</v>
      </c>
      <c r="K284" s="124"/>
      <c r="L284" s="124"/>
      <c r="M284" s="124"/>
      <c r="N284" s="125"/>
      <c r="O284" s="165">
        <v>0</v>
      </c>
      <c r="P284" s="124"/>
      <c r="Q284" s="124"/>
      <c r="R284" s="124"/>
      <c r="S284" s="125"/>
      <c r="T284" s="165"/>
      <c r="U284" s="125"/>
      <c r="V284" s="165">
        <v>0</v>
      </c>
      <c r="W284" s="124"/>
      <c r="X284" s="124"/>
      <c r="Y284" s="124"/>
      <c r="Z284" s="125"/>
      <c r="AA284" s="165"/>
      <c r="AB284" s="125"/>
      <c r="AC284" s="165">
        <v>0</v>
      </c>
      <c r="AD284" s="124"/>
      <c r="AE284" s="124"/>
      <c r="AF284" s="124"/>
      <c r="AG284" s="125"/>
      <c r="AH284" s="165"/>
      <c r="AI284" s="125"/>
      <c r="AJ284" s="165">
        <v>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0</v>
      </c>
      <c r="K285" s="124"/>
      <c r="L285" s="124"/>
      <c r="M285" s="124"/>
      <c r="N285" s="125"/>
      <c r="O285" s="165">
        <v>0</v>
      </c>
      <c r="P285" s="124"/>
      <c r="Q285" s="124"/>
      <c r="R285" s="124"/>
      <c r="S285" s="125"/>
      <c r="T285" s="165"/>
      <c r="U285" s="125"/>
      <c r="V285" s="165">
        <v>0</v>
      </c>
      <c r="W285" s="124"/>
      <c r="X285" s="124"/>
      <c r="Y285" s="124"/>
      <c r="Z285" s="125"/>
      <c r="AA285" s="165"/>
      <c r="AB285" s="125"/>
      <c r="AC285" s="165">
        <v>0</v>
      </c>
      <c r="AD285" s="124"/>
      <c r="AE285" s="124"/>
      <c r="AF285" s="124"/>
      <c r="AG285" s="125"/>
      <c r="AH285" s="165"/>
      <c r="AI285" s="125"/>
      <c r="AJ285" s="165">
        <v>0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0</v>
      </c>
      <c r="K286" s="124"/>
      <c r="L286" s="124"/>
      <c r="M286" s="124"/>
      <c r="N286" s="125"/>
      <c r="O286" s="165">
        <f>SUM(O284:S285)</f>
        <v>0</v>
      </c>
      <c r="P286" s="124"/>
      <c r="Q286" s="124"/>
      <c r="R286" s="124"/>
      <c r="S286" s="125"/>
      <c r="T286" s="165">
        <f>SUM(T284:X285)</f>
        <v>0</v>
      </c>
      <c r="U286" s="125"/>
      <c r="V286" s="165">
        <f>SUM(V284:Z285)</f>
        <v>0</v>
      </c>
      <c r="W286" s="124"/>
      <c r="X286" s="124"/>
      <c r="Y286" s="124"/>
      <c r="Z286" s="125"/>
      <c r="AA286" s="165">
        <f>SUM(AA284:AE285)</f>
        <v>0</v>
      </c>
      <c r="AB286" s="125"/>
      <c r="AC286" s="165">
        <f>SUM(AC284:AG285)</f>
        <v>0</v>
      </c>
      <c r="AD286" s="124"/>
      <c r="AE286" s="124"/>
      <c r="AF286" s="124"/>
      <c r="AG286" s="125"/>
      <c r="AH286" s="165">
        <f>SUM(AH284:AL285)</f>
        <v>0</v>
      </c>
      <c r="AI286" s="125"/>
      <c r="AJ286" s="165">
        <f>SUM(AJ284:AN285)</f>
        <v>0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239</v>
      </c>
      <c r="K290" s="124"/>
      <c r="L290" s="124"/>
      <c r="M290" s="124"/>
      <c r="N290" s="125"/>
      <c r="O290" s="165">
        <f>SUM(O287,O284,O281,O278,O275,O272,O269,O266,O263)</f>
        <v>239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120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124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121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211</v>
      </c>
      <c r="K291" s="124"/>
      <c r="L291" s="124"/>
      <c r="M291" s="124"/>
      <c r="N291" s="125"/>
      <c r="O291" s="165">
        <f>SUM(O288,O285,O282,O279,O276,O273,O270,O267,O264)</f>
        <v>211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108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115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112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450</v>
      </c>
      <c r="K292" s="124"/>
      <c r="L292" s="124"/>
      <c r="M292" s="124"/>
      <c r="N292" s="125"/>
      <c r="O292" s="165">
        <f>SUM(O265,O268,O271,O274,O277,O280,O283,O286,O289)</f>
        <v>450</v>
      </c>
      <c r="P292" s="124"/>
      <c r="Q292" s="124"/>
      <c r="R292" s="124"/>
      <c r="S292" s="125"/>
      <c r="T292" s="165">
        <f>SUM(T265,T268,T271,T274,T277,T280,T283,T286,T289)</f>
        <v>228</v>
      </c>
      <c r="U292" s="125"/>
      <c r="V292" s="165">
        <f>SUM(V265,V268,V271,V274,V277,V280,V283,V286,V289)</f>
        <v>228</v>
      </c>
      <c r="W292" s="124"/>
      <c r="X292" s="124"/>
      <c r="Y292" s="124"/>
      <c r="Z292" s="125"/>
      <c r="AA292" s="165">
        <f>SUM(AA265,AA268,AA271,AA274,AA277,AA280,AA283,AA286,AA289)</f>
        <v>239</v>
      </c>
      <c r="AB292" s="125"/>
      <c r="AC292" s="165">
        <f>SUM(AC265,AC268,AC271,AC274,AC277,AC280,AC283,AC286,AC289)</f>
        <v>239</v>
      </c>
      <c r="AD292" s="124"/>
      <c r="AE292" s="124"/>
      <c r="AF292" s="124"/>
      <c r="AG292" s="125"/>
      <c r="AH292" s="165">
        <f>SUM(AH265,AH268,AH271,AH274,AH277,AH280,AH283,AH286,AH289)</f>
        <v>233</v>
      </c>
      <c r="AI292" s="125"/>
      <c r="AJ292" s="165">
        <f>SUM(AJ265,AJ268,AJ271,AJ274,AJ277,AJ280,AJ283,AJ286,AJ289)</f>
        <v>233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113</v>
      </c>
      <c r="K298" s="83"/>
      <c r="L298" s="83"/>
      <c r="M298" s="83"/>
      <c r="N298" s="84"/>
      <c r="O298" s="82"/>
      <c r="P298" s="84"/>
      <c r="Q298" s="82">
        <v>113</v>
      </c>
      <c r="R298" s="83"/>
      <c r="S298" s="83"/>
      <c r="T298" s="83"/>
      <c r="U298" s="84"/>
      <c r="V298" s="82"/>
      <c r="W298" s="84"/>
      <c r="X298" s="82">
        <v>113</v>
      </c>
      <c r="Y298" s="83"/>
      <c r="Z298" s="83"/>
      <c r="AA298" s="83"/>
      <c r="AB298" s="84"/>
      <c r="AC298" s="82"/>
      <c r="AD298" s="84"/>
      <c r="AE298" s="82">
        <v>113</v>
      </c>
      <c r="AF298" s="83"/>
      <c r="AG298" s="83"/>
      <c r="AH298" s="83"/>
      <c r="AI298" s="84"/>
      <c r="AJ298" s="82"/>
      <c r="AK298" s="84"/>
      <c r="AL298" s="82">
        <v>113</v>
      </c>
      <c r="AM298" s="83"/>
      <c r="AN298" s="83"/>
      <c r="AO298" s="83"/>
      <c r="AP298" s="84"/>
      <c r="AQ298" s="82"/>
      <c r="AR298" s="84"/>
      <c r="AS298" s="82">
        <v>113</v>
      </c>
      <c r="AT298" s="83"/>
      <c r="AU298" s="83"/>
      <c r="AV298" s="83"/>
      <c r="AW298" s="84"/>
      <c r="AX298" s="82"/>
      <c r="AY298" s="84"/>
      <c r="AZ298" s="82">
        <v>113</v>
      </c>
      <c r="BA298" s="83"/>
      <c r="BB298" s="83"/>
      <c r="BC298" s="83"/>
      <c r="BD298" s="84"/>
      <c r="BE298" s="82"/>
      <c r="BF298" s="83"/>
      <c r="BG298" s="89">
        <v>113</v>
      </c>
      <c r="BH298" s="89"/>
      <c r="BI298" s="89"/>
      <c r="BJ298" s="89"/>
      <c r="BK298" s="89"/>
      <c r="BL298" s="84"/>
      <c r="BM298" s="89"/>
      <c r="BN298" s="89">
        <v>113</v>
      </c>
      <c r="BO298" s="89"/>
      <c r="BP298" s="89"/>
      <c r="BQ298" s="89"/>
      <c r="BR298" s="89"/>
      <c r="BS298" s="83"/>
      <c r="BT298" s="84"/>
      <c r="BU298" s="82">
        <v>113</v>
      </c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110</v>
      </c>
      <c r="K299" s="83"/>
      <c r="L299" s="83"/>
      <c r="M299" s="83"/>
      <c r="N299" s="84"/>
      <c r="O299" s="82"/>
      <c r="P299" s="84"/>
      <c r="Q299" s="82">
        <v>110</v>
      </c>
      <c r="R299" s="83"/>
      <c r="S299" s="83"/>
      <c r="T299" s="83"/>
      <c r="U299" s="84"/>
      <c r="V299" s="82"/>
      <c r="W299" s="84"/>
      <c r="X299" s="82">
        <v>110</v>
      </c>
      <c r="Y299" s="83"/>
      <c r="Z299" s="83"/>
      <c r="AA299" s="83"/>
      <c r="AB299" s="84"/>
      <c r="AC299" s="82"/>
      <c r="AD299" s="84"/>
      <c r="AE299" s="82">
        <v>110</v>
      </c>
      <c r="AF299" s="83"/>
      <c r="AG299" s="83"/>
      <c r="AH299" s="83"/>
      <c r="AI299" s="84"/>
      <c r="AJ299" s="82"/>
      <c r="AK299" s="84"/>
      <c r="AL299" s="82">
        <v>110</v>
      </c>
      <c r="AM299" s="83"/>
      <c r="AN299" s="83"/>
      <c r="AO299" s="83"/>
      <c r="AP299" s="84"/>
      <c r="AQ299" s="82"/>
      <c r="AR299" s="84"/>
      <c r="AS299" s="82">
        <v>110</v>
      </c>
      <c r="AT299" s="83"/>
      <c r="AU299" s="83"/>
      <c r="AV299" s="83"/>
      <c r="AW299" s="84"/>
      <c r="AX299" s="82"/>
      <c r="AY299" s="84"/>
      <c r="AZ299" s="82">
        <v>110</v>
      </c>
      <c r="BA299" s="83"/>
      <c r="BB299" s="83"/>
      <c r="BC299" s="83"/>
      <c r="BD299" s="84"/>
      <c r="BE299" s="82"/>
      <c r="BF299" s="83"/>
      <c r="BG299" s="89">
        <v>110</v>
      </c>
      <c r="BH299" s="89"/>
      <c r="BI299" s="89"/>
      <c r="BJ299" s="89"/>
      <c r="BK299" s="89"/>
      <c r="BL299" s="84"/>
      <c r="BM299" s="89"/>
      <c r="BN299" s="89">
        <v>110</v>
      </c>
      <c r="BO299" s="89"/>
      <c r="BP299" s="89"/>
      <c r="BQ299" s="89"/>
      <c r="BR299" s="89"/>
      <c r="BS299" s="83"/>
      <c r="BT299" s="84"/>
      <c r="BU299" s="82">
        <v>110</v>
      </c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223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223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223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223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223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223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223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223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223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223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>
        <v>121</v>
      </c>
      <c r="K301" s="83"/>
      <c r="L301" s="83"/>
      <c r="M301" s="83"/>
      <c r="N301" s="84"/>
      <c r="O301" s="82"/>
      <c r="P301" s="84"/>
      <c r="Q301" s="82">
        <v>121</v>
      </c>
      <c r="R301" s="83"/>
      <c r="S301" s="83"/>
      <c r="T301" s="83"/>
      <c r="U301" s="84"/>
      <c r="V301" s="82"/>
      <c r="W301" s="84"/>
      <c r="X301" s="82">
        <v>121</v>
      </c>
      <c r="Y301" s="83"/>
      <c r="Z301" s="83"/>
      <c r="AA301" s="83"/>
      <c r="AB301" s="84"/>
      <c r="AC301" s="82"/>
      <c r="AD301" s="84"/>
      <c r="AE301" s="82">
        <v>121</v>
      </c>
      <c r="AF301" s="83"/>
      <c r="AG301" s="83"/>
      <c r="AH301" s="83"/>
      <c r="AI301" s="84"/>
      <c r="AJ301" s="82"/>
      <c r="AK301" s="84"/>
      <c r="AL301" s="82">
        <v>121</v>
      </c>
      <c r="AM301" s="83"/>
      <c r="AN301" s="83"/>
      <c r="AO301" s="83"/>
      <c r="AP301" s="84"/>
      <c r="AQ301" s="82"/>
      <c r="AR301" s="84"/>
      <c r="AS301" s="82">
        <v>121</v>
      </c>
      <c r="AT301" s="83"/>
      <c r="AU301" s="83"/>
      <c r="AV301" s="83"/>
      <c r="AW301" s="84"/>
      <c r="AX301" s="82"/>
      <c r="AY301" s="84"/>
      <c r="AZ301" s="82">
        <v>121</v>
      </c>
      <c r="BA301" s="83"/>
      <c r="BB301" s="83"/>
      <c r="BC301" s="83"/>
      <c r="BD301" s="84"/>
      <c r="BE301" s="82"/>
      <c r="BF301" s="83"/>
      <c r="BG301" s="89">
        <v>121</v>
      </c>
      <c r="BH301" s="89"/>
      <c r="BI301" s="89"/>
      <c r="BJ301" s="89"/>
      <c r="BK301" s="89"/>
      <c r="BL301" s="84"/>
      <c r="BM301" s="89"/>
      <c r="BN301" s="89">
        <v>121</v>
      </c>
      <c r="BO301" s="89"/>
      <c r="BP301" s="89"/>
      <c r="BQ301" s="89"/>
      <c r="BR301" s="89"/>
      <c r="BS301" s="83"/>
      <c r="BT301" s="84"/>
      <c r="BU301" s="82">
        <v>121</v>
      </c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>
        <v>94</v>
      </c>
      <c r="K302" s="83"/>
      <c r="L302" s="83"/>
      <c r="M302" s="83"/>
      <c r="N302" s="84"/>
      <c r="O302" s="82"/>
      <c r="P302" s="84"/>
      <c r="Q302" s="82">
        <v>94</v>
      </c>
      <c r="R302" s="83"/>
      <c r="S302" s="83"/>
      <c r="T302" s="83"/>
      <c r="U302" s="84"/>
      <c r="V302" s="82"/>
      <c r="W302" s="84"/>
      <c r="X302" s="82">
        <v>94</v>
      </c>
      <c r="Y302" s="83"/>
      <c r="Z302" s="83"/>
      <c r="AA302" s="83"/>
      <c r="AB302" s="84"/>
      <c r="AC302" s="82"/>
      <c r="AD302" s="84"/>
      <c r="AE302" s="82">
        <v>94</v>
      </c>
      <c r="AF302" s="83"/>
      <c r="AG302" s="83"/>
      <c r="AH302" s="83"/>
      <c r="AI302" s="84"/>
      <c r="AJ302" s="82"/>
      <c r="AK302" s="84"/>
      <c r="AL302" s="82">
        <v>94</v>
      </c>
      <c r="AM302" s="83"/>
      <c r="AN302" s="83"/>
      <c r="AO302" s="83"/>
      <c r="AP302" s="84"/>
      <c r="AQ302" s="82"/>
      <c r="AR302" s="84"/>
      <c r="AS302" s="82">
        <v>94</v>
      </c>
      <c r="AT302" s="83"/>
      <c r="AU302" s="83"/>
      <c r="AV302" s="83"/>
      <c r="AW302" s="84"/>
      <c r="AX302" s="82"/>
      <c r="AY302" s="84"/>
      <c r="AZ302" s="82">
        <v>94</v>
      </c>
      <c r="BA302" s="83"/>
      <c r="BB302" s="83"/>
      <c r="BC302" s="83"/>
      <c r="BD302" s="84"/>
      <c r="BE302" s="82"/>
      <c r="BF302" s="83"/>
      <c r="BG302" s="163">
        <v>94</v>
      </c>
      <c r="BH302" s="163"/>
      <c r="BI302" s="163"/>
      <c r="BJ302" s="163"/>
      <c r="BK302" s="163"/>
      <c r="BL302" s="89"/>
      <c r="BM302" s="89"/>
      <c r="BN302" s="89">
        <v>94</v>
      </c>
      <c r="BO302" s="89"/>
      <c r="BP302" s="89"/>
      <c r="BQ302" s="89"/>
      <c r="BR302" s="89"/>
      <c r="BS302" s="83"/>
      <c r="BT302" s="84"/>
      <c r="BU302" s="82">
        <v>94</v>
      </c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215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215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215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215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215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215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215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215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215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215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>
        <v>5</v>
      </c>
      <c r="K304" s="83"/>
      <c r="L304" s="83"/>
      <c r="M304" s="83"/>
      <c r="N304" s="84"/>
      <c r="O304" s="82"/>
      <c r="P304" s="84"/>
      <c r="Q304" s="82">
        <v>5</v>
      </c>
      <c r="R304" s="83"/>
      <c r="S304" s="83"/>
      <c r="T304" s="83"/>
      <c r="U304" s="84"/>
      <c r="V304" s="82"/>
      <c r="W304" s="84"/>
      <c r="X304" s="82">
        <v>5</v>
      </c>
      <c r="Y304" s="83"/>
      <c r="Z304" s="83"/>
      <c r="AA304" s="83"/>
      <c r="AB304" s="84"/>
      <c r="AC304" s="82"/>
      <c r="AD304" s="84"/>
      <c r="AE304" s="82">
        <v>5</v>
      </c>
      <c r="AF304" s="83"/>
      <c r="AG304" s="83"/>
      <c r="AH304" s="83"/>
      <c r="AI304" s="84"/>
      <c r="AJ304" s="82"/>
      <c r="AK304" s="84"/>
      <c r="AL304" s="82">
        <v>5</v>
      </c>
      <c r="AM304" s="83"/>
      <c r="AN304" s="83"/>
      <c r="AO304" s="83"/>
      <c r="AP304" s="84"/>
      <c r="AQ304" s="82"/>
      <c r="AR304" s="84"/>
      <c r="AS304" s="82">
        <v>5</v>
      </c>
      <c r="AT304" s="83"/>
      <c r="AU304" s="83"/>
      <c r="AV304" s="83"/>
      <c r="AW304" s="84"/>
      <c r="AX304" s="82"/>
      <c r="AY304" s="84"/>
      <c r="AZ304" s="82">
        <v>5</v>
      </c>
      <c r="BA304" s="83"/>
      <c r="BB304" s="83"/>
      <c r="BC304" s="83"/>
      <c r="BD304" s="84"/>
      <c r="BE304" s="82"/>
      <c r="BF304" s="83"/>
      <c r="BG304" s="89">
        <v>5</v>
      </c>
      <c r="BH304" s="89"/>
      <c r="BI304" s="89"/>
      <c r="BJ304" s="89"/>
      <c r="BK304" s="89"/>
      <c r="BL304" s="89"/>
      <c r="BM304" s="89"/>
      <c r="BN304" s="89">
        <v>5</v>
      </c>
      <c r="BO304" s="89"/>
      <c r="BP304" s="89"/>
      <c r="BQ304" s="89"/>
      <c r="BR304" s="89"/>
      <c r="BS304" s="83"/>
      <c r="BT304" s="84"/>
      <c r="BU304" s="82">
        <v>5</v>
      </c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>
        <v>7</v>
      </c>
      <c r="K305" s="83"/>
      <c r="L305" s="83"/>
      <c r="M305" s="83"/>
      <c r="N305" s="84"/>
      <c r="O305" s="82"/>
      <c r="P305" s="84"/>
      <c r="Q305" s="82">
        <v>7</v>
      </c>
      <c r="R305" s="83"/>
      <c r="S305" s="83"/>
      <c r="T305" s="83"/>
      <c r="U305" s="84"/>
      <c r="V305" s="82"/>
      <c r="W305" s="84"/>
      <c r="X305" s="82">
        <v>7</v>
      </c>
      <c r="Y305" s="83"/>
      <c r="Z305" s="83"/>
      <c r="AA305" s="83"/>
      <c r="AB305" s="84"/>
      <c r="AC305" s="82"/>
      <c r="AD305" s="84"/>
      <c r="AE305" s="82">
        <v>7</v>
      </c>
      <c r="AF305" s="83"/>
      <c r="AG305" s="83"/>
      <c r="AH305" s="83"/>
      <c r="AI305" s="84"/>
      <c r="AJ305" s="82"/>
      <c r="AK305" s="84"/>
      <c r="AL305" s="82">
        <v>7</v>
      </c>
      <c r="AM305" s="83"/>
      <c r="AN305" s="83"/>
      <c r="AO305" s="83"/>
      <c r="AP305" s="84"/>
      <c r="AQ305" s="82"/>
      <c r="AR305" s="84"/>
      <c r="AS305" s="82">
        <v>7</v>
      </c>
      <c r="AT305" s="83"/>
      <c r="AU305" s="83"/>
      <c r="AV305" s="83"/>
      <c r="AW305" s="84"/>
      <c r="AX305" s="82"/>
      <c r="AY305" s="84"/>
      <c r="AZ305" s="82">
        <v>7</v>
      </c>
      <c r="BA305" s="83"/>
      <c r="BB305" s="83"/>
      <c r="BC305" s="83"/>
      <c r="BD305" s="84"/>
      <c r="BE305" s="82"/>
      <c r="BF305" s="83"/>
      <c r="BG305" s="89">
        <v>7</v>
      </c>
      <c r="BH305" s="89"/>
      <c r="BI305" s="89"/>
      <c r="BJ305" s="89"/>
      <c r="BK305" s="89"/>
      <c r="BL305" s="89"/>
      <c r="BM305" s="89"/>
      <c r="BN305" s="89">
        <v>7</v>
      </c>
      <c r="BO305" s="89"/>
      <c r="BP305" s="89"/>
      <c r="BQ305" s="89"/>
      <c r="BR305" s="89"/>
      <c r="BS305" s="83"/>
      <c r="BT305" s="84"/>
      <c r="BU305" s="82">
        <v>7</v>
      </c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12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12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12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12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12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12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12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12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12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12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>
        <v>0</v>
      </c>
      <c r="K307" s="83"/>
      <c r="L307" s="83"/>
      <c r="M307" s="83"/>
      <c r="N307" s="84"/>
      <c r="O307" s="82"/>
      <c r="P307" s="84"/>
      <c r="Q307" s="82">
        <v>0</v>
      </c>
      <c r="R307" s="83"/>
      <c r="S307" s="83"/>
      <c r="T307" s="83"/>
      <c r="U307" s="84"/>
      <c r="V307" s="82"/>
      <c r="W307" s="84"/>
      <c r="X307" s="82">
        <v>0</v>
      </c>
      <c r="Y307" s="83"/>
      <c r="Z307" s="83"/>
      <c r="AA307" s="83"/>
      <c r="AB307" s="84"/>
      <c r="AC307" s="82"/>
      <c r="AD307" s="84"/>
      <c r="AE307" s="82">
        <v>0</v>
      </c>
      <c r="AF307" s="83"/>
      <c r="AG307" s="83"/>
      <c r="AH307" s="83"/>
      <c r="AI307" s="84"/>
      <c r="AJ307" s="82"/>
      <c r="AK307" s="84"/>
      <c r="AL307" s="82">
        <v>0</v>
      </c>
      <c r="AM307" s="83"/>
      <c r="AN307" s="83"/>
      <c r="AO307" s="83"/>
      <c r="AP307" s="84"/>
      <c r="AQ307" s="82"/>
      <c r="AR307" s="84"/>
      <c r="AS307" s="82">
        <v>0</v>
      </c>
      <c r="AT307" s="83"/>
      <c r="AU307" s="83"/>
      <c r="AV307" s="83"/>
      <c r="AW307" s="84"/>
      <c r="AX307" s="82"/>
      <c r="AY307" s="84"/>
      <c r="AZ307" s="82">
        <v>0</v>
      </c>
      <c r="BA307" s="83"/>
      <c r="BB307" s="83"/>
      <c r="BC307" s="83"/>
      <c r="BD307" s="84"/>
      <c r="BE307" s="82"/>
      <c r="BF307" s="83"/>
      <c r="BG307" s="89">
        <v>0</v>
      </c>
      <c r="BH307" s="89"/>
      <c r="BI307" s="89"/>
      <c r="BJ307" s="89"/>
      <c r="BK307" s="89"/>
      <c r="BL307" s="89"/>
      <c r="BM307" s="89"/>
      <c r="BN307" s="89">
        <v>0</v>
      </c>
      <c r="BO307" s="89"/>
      <c r="BP307" s="89"/>
      <c r="BQ307" s="89"/>
      <c r="BR307" s="89"/>
      <c r="BS307" s="83"/>
      <c r="BT307" s="84"/>
      <c r="BU307" s="82">
        <v>0</v>
      </c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>
        <v>0</v>
      </c>
      <c r="K308" s="83"/>
      <c r="L308" s="83"/>
      <c r="M308" s="83"/>
      <c r="N308" s="84"/>
      <c r="O308" s="82"/>
      <c r="P308" s="84"/>
      <c r="Q308" s="82">
        <v>0</v>
      </c>
      <c r="R308" s="83"/>
      <c r="S308" s="83"/>
      <c r="T308" s="83"/>
      <c r="U308" s="84"/>
      <c r="V308" s="82"/>
      <c r="W308" s="84"/>
      <c r="X308" s="82">
        <v>0</v>
      </c>
      <c r="Y308" s="83"/>
      <c r="Z308" s="83"/>
      <c r="AA308" s="83"/>
      <c r="AB308" s="84"/>
      <c r="AC308" s="82"/>
      <c r="AD308" s="84"/>
      <c r="AE308" s="82">
        <v>0</v>
      </c>
      <c r="AF308" s="83"/>
      <c r="AG308" s="83"/>
      <c r="AH308" s="83"/>
      <c r="AI308" s="84"/>
      <c r="AJ308" s="82"/>
      <c r="AK308" s="84"/>
      <c r="AL308" s="82">
        <v>0</v>
      </c>
      <c r="AM308" s="83"/>
      <c r="AN308" s="83"/>
      <c r="AO308" s="83"/>
      <c r="AP308" s="84"/>
      <c r="AQ308" s="82"/>
      <c r="AR308" s="84"/>
      <c r="AS308" s="82">
        <v>0</v>
      </c>
      <c r="AT308" s="83"/>
      <c r="AU308" s="83"/>
      <c r="AV308" s="83"/>
      <c r="AW308" s="84"/>
      <c r="AX308" s="82"/>
      <c r="AY308" s="84"/>
      <c r="AZ308" s="82">
        <v>0</v>
      </c>
      <c r="BA308" s="83"/>
      <c r="BB308" s="83"/>
      <c r="BC308" s="83"/>
      <c r="BD308" s="84"/>
      <c r="BE308" s="82"/>
      <c r="BF308" s="83"/>
      <c r="BG308" s="89">
        <v>0</v>
      </c>
      <c r="BH308" s="89"/>
      <c r="BI308" s="89"/>
      <c r="BJ308" s="89"/>
      <c r="BK308" s="89"/>
      <c r="BL308" s="89"/>
      <c r="BM308" s="89"/>
      <c r="BN308" s="89">
        <v>0</v>
      </c>
      <c r="BO308" s="89"/>
      <c r="BP308" s="89"/>
      <c r="BQ308" s="89"/>
      <c r="BR308" s="89"/>
      <c r="BS308" s="83"/>
      <c r="BT308" s="84"/>
      <c r="BU308" s="82">
        <v>0</v>
      </c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>
        <v>0</v>
      </c>
      <c r="K310" s="83"/>
      <c r="L310" s="83"/>
      <c r="M310" s="83"/>
      <c r="N310" s="84"/>
      <c r="O310" s="82"/>
      <c r="P310" s="84"/>
      <c r="Q310" s="82">
        <v>0</v>
      </c>
      <c r="R310" s="83"/>
      <c r="S310" s="83"/>
      <c r="T310" s="83"/>
      <c r="U310" s="84"/>
      <c r="V310" s="82"/>
      <c r="W310" s="84"/>
      <c r="X310" s="82">
        <v>0</v>
      </c>
      <c r="Y310" s="83"/>
      <c r="Z310" s="83"/>
      <c r="AA310" s="83"/>
      <c r="AB310" s="84"/>
      <c r="AC310" s="82"/>
      <c r="AD310" s="84"/>
      <c r="AE310" s="82">
        <v>0</v>
      </c>
      <c r="AF310" s="83"/>
      <c r="AG310" s="83"/>
      <c r="AH310" s="83"/>
      <c r="AI310" s="84"/>
      <c r="AJ310" s="82"/>
      <c r="AK310" s="84"/>
      <c r="AL310" s="82">
        <v>0</v>
      </c>
      <c r="AM310" s="83"/>
      <c r="AN310" s="83"/>
      <c r="AO310" s="83"/>
      <c r="AP310" s="84"/>
      <c r="AQ310" s="82"/>
      <c r="AR310" s="84"/>
      <c r="AS310" s="82">
        <v>0</v>
      </c>
      <c r="AT310" s="83"/>
      <c r="AU310" s="83"/>
      <c r="AV310" s="83"/>
      <c r="AW310" s="84"/>
      <c r="AX310" s="82"/>
      <c r="AY310" s="84"/>
      <c r="AZ310" s="82">
        <v>0</v>
      </c>
      <c r="BA310" s="83"/>
      <c r="BB310" s="83"/>
      <c r="BC310" s="83"/>
      <c r="BD310" s="84"/>
      <c r="BE310" s="82"/>
      <c r="BF310" s="83"/>
      <c r="BG310" s="89">
        <v>0</v>
      </c>
      <c r="BH310" s="89"/>
      <c r="BI310" s="89"/>
      <c r="BJ310" s="89"/>
      <c r="BK310" s="89"/>
      <c r="BL310" s="89"/>
      <c r="BM310" s="89"/>
      <c r="BN310" s="89">
        <v>0</v>
      </c>
      <c r="BO310" s="89"/>
      <c r="BP310" s="89"/>
      <c r="BQ310" s="89"/>
      <c r="BR310" s="89"/>
      <c r="BS310" s="83"/>
      <c r="BT310" s="84"/>
      <c r="BU310" s="82">
        <v>0</v>
      </c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>
        <v>0</v>
      </c>
      <c r="K311" s="83"/>
      <c r="L311" s="83"/>
      <c r="M311" s="83"/>
      <c r="N311" s="84"/>
      <c r="O311" s="82"/>
      <c r="P311" s="84"/>
      <c r="Q311" s="82">
        <v>0</v>
      </c>
      <c r="R311" s="83"/>
      <c r="S311" s="83"/>
      <c r="T311" s="83"/>
      <c r="U311" s="84"/>
      <c r="V311" s="82"/>
      <c r="W311" s="84"/>
      <c r="X311" s="82">
        <v>0</v>
      </c>
      <c r="Y311" s="83"/>
      <c r="Z311" s="83"/>
      <c r="AA311" s="83"/>
      <c r="AB311" s="84"/>
      <c r="AC311" s="82"/>
      <c r="AD311" s="84"/>
      <c r="AE311" s="82">
        <v>0</v>
      </c>
      <c r="AF311" s="83"/>
      <c r="AG311" s="83"/>
      <c r="AH311" s="83"/>
      <c r="AI311" s="84"/>
      <c r="AJ311" s="82"/>
      <c r="AK311" s="84"/>
      <c r="AL311" s="82">
        <v>0</v>
      </c>
      <c r="AM311" s="83"/>
      <c r="AN311" s="83"/>
      <c r="AO311" s="83"/>
      <c r="AP311" s="84"/>
      <c r="AQ311" s="82"/>
      <c r="AR311" s="84"/>
      <c r="AS311" s="82">
        <v>0</v>
      </c>
      <c r="AT311" s="83"/>
      <c r="AU311" s="83"/>
      <c r="AV311" s="83"/>
      <c r="AW311" s="84"/>
      <c r="AX311" s="82"/>
      <c r="AY311" s="84"/>
      <c r="AZ311" s="82">
        <v>0</v>
      </c>
      <c r="BA311" s="83"/>
      <c r="BB311" s="83"/>
      <c r="BC311" s="83"/>
      <c r="BD311" s="84"/>
      <c r="BE311" s="82"/>
      <c r="BF311" s="84"/>
      <c r="BG311" s="96">
        <v>0</v>
      </c>
      <c r="BH311" s="97"/>
      <c r="BI311" s="97"/>
      <c r="BJ311" s="97"/>
      <c r="BK311" s="98"/>
      <c r="BL311" s="96"/>
      <c r="BM311" s="98"/>
      <c r="BN311" s="96">
        <v>0</v>
      </c>
      <c r="BO311" s="97"/>
      <c r="BP311" s="97"/>
      <c r="BQ311" s="97"/>
      <c r="BR311" s="98"/>
      <c r="BS311" s="82"/>
      <c r="BT311" s="84"/>
      <c r="BU311" s="82">
        <v>0</v>
      </c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>
        <v>0</v>
      </c>
      <c r="K313" s="83"/>
      <c r="L313" s="83"/>
      <c r="M313" s="83"/>
      <c r="N313" s="84"/>
      <c r="O313" s="82"/>
      <c r="P313" s="84"/>
      <c r="Q313" s="82">
        <v>0</v>
      </c>
      <c r="R313" s="83"/>
      <c r="S313" s="83"/>
      <c r="T313" s="83"/>
      <c r="U313" s="84"/>
      <c r="V313" s="82"/>
      <c r="W313" s="84"/>
      <c r="X313" s="82">
        <v>0</v>
      </c>
      <c r="Y313" s="83"/>
      <c r="Z313" s="83"/>
      <c r="AA313" s="83"/>
      <c r="AB313" s="84"/>
      <c r="AC313" s="82"/>
      <c r="AD313" s="84"/>
      <c r="AE313" s="82">
        <v>0</v>
      </c>
      <c r="AF313" s="83"/>
      <c r="AG313" s="83"/>
      <c r="AH313" s="83"/>
      <c r="AI313" s="84"/>
      <c r="AJ313" s="82"/>
      <c r="AK313" s="84"/>
      <c r="AL313" s="82">
        <v>0</v>
      </c>
      <c r="AM313" s="83"/>
      <c r="AN313" s="83"/>
      <c r="AO313" s="83"/>
      <c r="AP313" s="84"/>
      <c r="AQ313" s="82"/>
      <c r="AR313" s="84"/>
      <c r="AS313" s="82">
        <v>0</v>
      </c>
      <c r="AT313" s="83"/>
      <c r="AU313" s="83"/>
      <c r="AV313" s="83"/>
      <c r="AW313" s="84"/>
      <c r="AX313" s="82"/>
      <c r="AY313" s="84"/>
      <c r="AZ313" s="82">
        <v>0</v>
      </c>
      <c r="BA313" s="83"/>
      <c r="BB313" s="83"/>
      <c r="BC313" s="83"/>
      <c r="BD313" s="84"/>
      <c r="BE313" s="82"/>
      <c r="BF313" s="84"/>
      <c r="BG313" s="82">
        <v>0</v>
      </c>
      <c r="BH313" s="83"/>
      <c r="BI313" s="83"/>
      <c r="BJ313" s="83"/>
      <c r="BK313" s="84"/>
      <c r="BL313" s="82"/>
      <c r="BM313" s="84"/>
      <c r="BN313" s="82">
        <v>0</v>
      </c>
      <c r="BO313" s="83"/>
      <c r="BP313" s="83"/>
      <c r="BQ313" s="83"/>
      <c r="BR313" s="84"/>
      <c r="BS313" s="82"/>
      <c r="BT313" s="84"/>
      <c r="BU313" s="82">
        <v>0</v>
      </c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>
        <v>0</v>
      </c>
      <c r="K314" s="83"/>
      <c r="L314" s="83"/>
      <c r="M314" s="83"/>
      <c r="N314" s="84"/>
      <c r="O314" s="82"/>
      <c r="P314" s="84"/>
      <c r="Q314" s="82">
        <v>0</v>
      </c>
      <c r="R314" s="83"/>
      <c r="S314" s="83"/>
      <c r="T314" s="83"/>
      <c r="U314" s="84"/>
      <c r="V314" s="82"/>
      <c r="W314" s="84"/>
      <c r="X314" s="82">
        <v>0</v>
      </c>
      <c r="Y314" s="83"/>
      <c r="Z314" s="83"/>
      <c r="AA314" s="83"/>
      <c r="AB314" s="84"/>
      <c r="AC314" s="82"/>
      <c r="AD314" s="84"/>
      <c r="AE314" s="82">
        <v>0</v>
      </c>
      <c r="AF314" s="83"/>
      <c r="AG314" s="83"/>
      <c r="AH314" s="83"/>
      <c r="AI314" s="84"/>
      <c r="AJ314" s="82"/>
      <c r="AK314" s="84"/>
      <c r="AL314" s="82">
        <v>0</v>
      </c>
      <c r="AM314" s="83"/>
      <c r="AN314" s="83"/>
      <c r="AO314" s="83"/>
      <c r="AP314" s="84"/>
      <c r="AQ314" s="82"/>
      <c r="AR314" s="84"/>
      <c r="AS314" s="82">
        <v>0</v>
      </c>
      <c r="AT314" s="83"/>
      <c r="AU314" s="83"/>
      <c r="AV314" s="83"/>
      <c r="AW314" s="84"/>
      <c r="AX314" s="82"/>
      <c r="AY314" s="84"/>
      <c r="AZ314" s="82">
        <v>0</v>
      </c>
      <c r="BA314" s="83"/>
      <c r="BB314" s="83"/>
      <c r="BC314" s="83"/>
      <c r="BD314" s="84"/>
      <c r="BE314" s="82"/>
      <c r="BF314" s="84"/>
      <c r="BG314" s="82">
        <v>0</v>
      </c>
      <c r="BH314" s="83"/>
      <c r="BI314" s="83"/>
      <c r="BJ314" s="83"/>
      <c r="BK314" s="84"/>
      <c r="BL314" s="82"/>
      <c r="BM314" s="84"/>
      <c r="BN314" s="82">
        <v>0</v>
      </c>
      <c r="BO314" s="83"/>
      <c r="BP314" s="83"/>
      <c r="BQ314" s="83"/>
      <c r="BR314" s="84"/>
      <c r="BS314" s="82"/>
      <c r="BT314" s="84"/>
      <c r="BU314" s="82">
        <v>0</v>
      </c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>
        <v>0</v>
      </c>
      <c r="K316" s="83"/>
      <c r="L316" s="83"/>
      <c r="M316" s="83"/>
      <c r="N316" s="84"/>
      <c r="O316" s="82"/>
      <c r="P316" s="84"/>
      <c r="Q316" s="82">
        <v>0</v>
      </c>
      <c r="R316" s="83"/>
      <c r="S316" s="83"/>
      <c r="T316" s="83"/>
      <c r="U316" s="84"/>
      <c r="V316" s="82"/>
      <c r="W316" s="84"/>
      <c r="X316" s="82">
        <v>0</v>
      </c>
      <c r="Y316" s="83"/>
      <c r="Z316" s="83"/>
      <c r="AA316" s="83"/>
      <c r="AB316" s="84"/>
      <c r="AC316" s="82"/>
      <c r="AD316" s="84"/>
      <c r="AE316" s="82">
        <v>0</v>
      </c>
      <c r="AF316" s="83"/>
      <c r="AG316" s="83"/>
      <c r="AH316" s="83"/>
      <c r="AI316" s="84"/>
      <c r="AJ316" s="82"/>
      <c r="AK316" s="84"/>
      <c r="AL316" s="82">
        <v>0</v>
      </c>
      <c r="AM316" s="83"/>
      <c r="AN316" s="83"/>
      <c r="AO316" s="83"/>
      <c r="AP316" s="84"/>
      <c r="AQ316" s="82"/>
      <c r="AR316" s="84"/>
      <c r="AS316" s="82">
        <v>0</v>
      </c>
      <c r="AT316" s="83"/>
      <c r="AU316" s="83"/>
      <c r="AV316" s="83"/>
      <c r="AW316" s="84"/>
      <c r="AX316" s="82"/>
      <c r="AY316" s="84"/>
      <c r="AZ316" s="82">
        <v>0</v>
      </c>
      <c r="BA316" s="83"/>
      <c r="BB316" s="83"/>
      <c r="BC316" s="83"/>
      <c r="BD316" s="84"/>
      <c r="BE316" s="82"/>
      <c r="BF316" s="84"/>
      <c r="BG316" s="82">
        <v>0</v>
      </c>
      <c r="BH316" s="83"/>
      <c r="BI316" s="83"/>
      <c r="BJ316" s="83"/>
      <c r="BK316" s="84"/>
      <c r="BL316" s="82"/>
      <c r="BM316" s="84"/>
      <c r="BN316" s="82">
        <v>0</v>
      </c>
      <c r="BO316" s="83"/>
      <c r="BP316" s="83"/>
      <c r="BQ316" s="83"/>
      <c r="BR316" s="84"/>
      <c r="BS316" s="82"/>
      <c r="BT316" s="84"/>
      <c r="BU316" s="82">
        <v>0</v>
      </c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>
        <v>0</v>
      </c>
      <c r="K317" s="83"/>
      <c r="L317" s="83"/>
      <c r="M317" s="83"/>
      <c r="N317" s="84"/>
      <c r="O317" s="82"/>
      <c r="P317" s="84"/>
      <c r="Q317" s="82">
        <v>0</v>
      </c>
      <c r="R317" s="83"/>
      <c r="S317" s="83"/>
      <c r="T317" s="83"/>
      <c r="U317" s="84"/>
      <c r="V317" s="82"/>
      <c r="W317" s="84"/>
      <c r="X317" s="82">
        <v>0</v>
      </c>
      <c r="Y317" s="83"/>
      <c r="Z317" s="83"/>
      <c r="AA317" s="83"/>
      <c r="AB317" s="84"/>
      <c r="AC317" s="82"/>
      <c r="AD317" s="84"/>
      <c r="AE317" s="82">
        <v>0</v>
      </c>
      <c r="AF317" s="83"/>
      <c r="AG317" s="83"/>
      <c r="AH317" s="83"/>
      <c r="AI317" s="84"/>
      <c r="AJ317" s="82"/>
      <c r="AK317" s="84"/>
      <c r="AL317" s="82">
        <v>0</v>
      </c>
      <c r="AM317" s="83"/>
      <c r="AN317" s="83"/>
      <c r="AO317" s="83"/>
      <c r="AP317" s="84"/>
      <c r="AQ317" s="82"/>
      <c r="AR317" s="84"/>
      <c r="AS317" s="82">
        <v>0</v>
      </c>
      <c r="AT317" s="83"/>
      <c r="AU317" s="83"/>
      <c r="AV317" s="83"/>
      <c r="AW317" s="84"/>
      <c r="AX317" s="82"/>
      <c r="AY317" s="84"/>
      <c r="AZ317" s="82">
        <v>0</v>
      </c>
      <c r="BA317" s="83"/>
      <c r="BB317" s="83"/>
      <c r="BC317" s="83"/>
      <c r="BD317" s="84"/>
      <c r="BE317" s="82"/>
      <c r="BF317" s="84"/>
      <c r="BG317" s="82">
        <v>0</v>
      </c>
      <c r="BH317" s="83"/>
      <c r="BI317" s="83"/>
      <c r="BJ317" s="83"/>
      <c r="BK317" s="84"/>
      <c r="BL317" s="82"/>
      <c r="BM317" s="84"/>
      <c r="BN317" s="82">
        <v>0</v>
      </c>
      <c r="BO317" s="83"/>
      <c r="BP317" s="83"/>
      <c r="BQ317" s="83"/>
      <c r="BR317" s="84"/>
      <c r="BS317" s="82"/>
      <c r="BT317" s="84"/>
      <c r="BU317" s="82">
        <v>0</v>
      </c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>
        <v>0</v>
      </c>
      <c r="K319" s="83"/>
      <c r="L319" s="83"/>
      <c r="M319" s="83"/>
      <c r="N319" s="84"/>
      <c r="O319" s="82"/>
      <c r="P319" s="84"/>
      <c r="Q319" s="82">
        <v>0</v>
      </c>
      <c r="R319" s="83"/>
      <c r="S319" s="83"/>
      <c r="T319" s="83"/>
      <c r="U319" s="84"/>
      <c r="V319" s="82"/>
      <c r="W319" s="84"/>
      <c r="X319" s="82">
        <v>0</v>
      </c>
      <c r="Y319" s="83"/>
      <c r="Z319" s="83"/>
      <c r="AA319" s="83"/>
      <c r="AB319" s="84"/>
      <c r="AC319" s="82"/>
      <c r="AD319" s="84"/>
      <c r="AE319" s="82">
        <v>0</v>
      </c>
      <c r="AF319" s="83"/>
      <c r="AG319" s="83"/>
      <c r="AH319" s="83"/>
      <c r="AI319" s="84"/>
      <c r="AJ319" s="82"/>
      <c r="AK319" s="84"/>
      <c r="AL319" s="82">
        <v>0</v>
      </c>
      <c r="AM319" s="83"/>
      <c r="AN319" s="83"/>
      <c r="AO319" s="83"/>
      <c r="AP319" s="84"/>
      <c r="AQ319" s="82"/>
      <c r="AR319" s="84"/>
      <c r="AS319" s="82">
        <v>0</v>
      </c>
      <c r="AT319" s="83"/>
      <c r="AU319" s="83"/>
      <c r="AV319" s="83"/>
      <c r="AW319" s="84"/>
      <c r="AX319" s="82"/>
      <c r="AY319" s="84"/>
      <c r="AZ319" s="82">
        <v>0</v>
      </c>
      <c r="BA319" s="83"/>
      <c r="BB319" s="83"/>
      <c r="BC319" s="83"/>
      <c r="BD319" s="84"/>
      <c r="BE319" s="82"/>
      <c r="BF319" s="84"/>
      <c r="BG319" s="82">
        <v>0</v>
      </c>
      <c r="BH319" s="83"/>
      <c r="BI319" s="83"/>
      <c r="BJ319" s="83"/>
      <c r="BK319" s="84"/>
      <c r="BL319" s="82"/>
      <c r="BM319" s="84"/>
      <c r="BN319" s="82">
        <v>0</v>
      </c>
      <c r="BO319" s="83"/>
      <c r="BP319" s="83"/>
      <c r="BQ319" s="83"/>
      <c r="BR319" s="84"/>
      <c r="BS319" s="82"/>
      <c r="BT319" s="84"/>
      <c r="BU319" s="82">
        <v>0</v>
      </c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>
        <v>0</v>
      </c>
      <c r="K320" s="83"/>
      <c r="L320" s="83"/>
      <c r="M320" s="83"/>
      <c r="N320" s="84"/>
      <c r="O320" s="82"/>
      <c r="P320" s="84"/>
      <c r="Q320" s="82">
        <v>0</v>
      </c>
      <c r="R320" s="83"/>
      <c r="S320" s="83"/>
      <c r="T320" s="83"/>
      <c r="U320" s="84"/>
      <c r="V320" s="82"/>
      <c r="W320" s="84"/>
      <c r="X320" s="82">
        <v>0</v>
      </c>
      <c r="Y320" s="83"/>
      <c r="Z320" s="83"/>
      <c r="AA320" s="83"/>
      <c r="AB320" s="84"/>
      <c r="AC320" s="82"/>
      <c r="AD320" s="84"/>
      <c r="AE320" s="82">
        <v>0</v>
      </c>
      <c r="AF320" s="83"/>
      <c r="AG320" s="83"/>
      <c r="AH320" s="83"/>
      <c r="AI320" s="84"/>
      <c r="AJ320" s="82"/>
      <c r="AK320" s="84"/>
      <c r="AL320" s="82">
        <v>0</v>
      </c>
      <c r="AM320" s="83"/>
      <c r="AN320" s="83"/>
      <c r="AO320" s="83"/>
      <c r="AP320" s="84"/>
      <c r="AQ320" s="82"/>
      <c r="AR320" s="84"/>
      <c r="AS320" s="82">
        <v>0</v>
      </c>
      <c r="AT320" s="83"/>
      <c r="AU320" s="83"/>
      <c r="AV320" s="83"/>
      <c r="AW320" s="84"/>
      <c r="AX320" s="82"/>
      <c r="AY320" s="84"/>
      <c r="AZ320" s="82">
        <v>0</v>
      </c>
      <c r="BA320" s="83"/>
      <c r="BB320" s="83"/>
      <c r="BC320" s="83"/>
      <c r="BD320" s="84"/>
      <c r="BE320" s="82"/>
      <c r="BF320" s="84"/>
      <c r="BG320" s="82">
        <v>0</v>
      </c>
      <c r="BH320" s="83"/>
      <c r="BI320" s="83"/>
      <c r="BJ320" s="83"/>
      <c r="BK320" s="84"/>
      <c r="BL320" s="82"/>
      <c r="BM320" s="84"/>
      <c r="BN320" s="82">
        <v>0</v>
      </c>
      <c r="BO320" s="83"/>
      <c r="BP320" s="83"/>
      <c r="BQ320" s="83"/>
      <c r="BR320" s="84"/>
      <c r="BS320" s="82"/>
      <c r="BT320" s="84"/>
      <c r="BU320" s="82">
        <v>0</v>
      </c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>
        <v>0</v>
      </c>
      <c r="K322" s="83"/>
      <c r="L322" s="83"/>
      <c r="M322" s="83"/>
      <c r="N322" s="84"/>
      <c r="O322" s="82"/>
      <c r="P322" s="84"/>
      <c r="Q322" s="82">
        <v>0</v>
      </c>
      <c r="R322" s="83"/>
      <c r="S322" s="83"/>
      <c r="T322" s="83"/>
      <c r="U322" s="84"/>
      <c r="V322" s="82"/>
      <c r="W322" s="84"/>
      <c r="X322" s="82">
        <v>0</v>
      </c>
      <c r="Y322" s="83"/>
      <c r="Z322" s="83"/>
      <c r="AA322" s="83"/>
      <c r="AB322" s="84"/>
      <c r="AC322" s="82"/>
      <c r="AD322" s="84"/>
      <c r="AE322" s="82">
        <v>0</v>
      </c>
      <c r="AF322" s="83"/>
      <c r="AG322" s="83"/>
      <c r="AH322" s="83"/>
      <c r="AI322" s="84"/>
      <c r="AJ322" s="82"/>
      <c r="AK322" s="84"/>
      <c r="AL322" s="82">
        <v>0</v>
      </c>
      <c r="AM322" s="83"/>
      <c r="AN322" s="83"/>
      <c r="AO322" s="83"/>
      <c r="AP322" s="84"/>
      <c r="AQ322" s="82"/>
      <c r="AR322" s="84"/>
      <c r="AS322" s="82">
        <v>0</v>
      </c>
      <c r="AT322" s="83"/>
      <c r="AU322" s="83"/>
      <c r="AV322" s="83"/>
      <c r="AW322" s="84"/>
      <c r="AX322" s="82"/>
      <c r="AY322" s="84"/>
      <c r="AZ322" s="82">
        <v>0</v>
      </c>
      <c r="BA322" s="83"/>
      <c r="BB322" s="83"/>
      <c r="BC322" s="83"/>
      <c r="BD322" s="84"/>
      <c r="BE322" s="82"/>
      <c r="BF322" s="84"/>
      <c r="BG322" s="82">
        <v>0</v>
      </c>
      <c r="BH322" s="83"/>
      <c r="BI322" s="83"/>
      <c r="BJ322" s="83"/>
      <c r="BK322" s="84"/>
      <c r="BL322" s="82"/>
      <c r="BM322" s="84"/>
      <c r="BN322" s="82">
        <v>0</v>
      </c>
      <c r="BO322" s="83"/>
      <c r="BP322" s="83"/>
      <c r="BQ322" s="83"/>
      <c r="BR322" s="84"/>
      <c r="BS322" s="82"/>
      <c r="BT322" s="84"/>
      <c r="BU322" s="82">
        <v>0</v>
      </c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>
        <v>0</v>
      </c>
      <c r="K323" s="83"/>
      <c r="L323" s="83"/>
      <c r="M323" s="83"/>
      <c r="N323" s="84"/>
      <c r="O323" s="82"/>
      <c r="P323" s="84"/>
      <c r="Q323" s="82">
        <v>0</v>
      </c>
      <c r="R323" s="83"/>
      <c r="S323" s="83"/>
      <c r="T323" s="83"/>
      <c r="U323" s="84"/>
      <c r="V323" s="82"/>
      <c r="W323" s="84"/>
      <c r="X323" s="82">
        <v>0</v>
      </c>
      <c r="Y323" s="83"/>
      <c r="Z323" s="83"/>
      <c r="AA323" s="83"/>
      <c r="AB323" s="84"/>
      <c r="AC323" s="82"/>
      <c r="AD323" s="84"/>
      <c r="AE323" s="82">
        <v>0</v>
      </c>
      <c r="AF323" s="83"/>
      <c r="AG323" s="83"/>
      <c r="AH323" s="83"/>
      <c r="AI323" s="84"/>
      <c r="AJ323" s="82"/>
      <c r="AK323" s="84"/>
      <c r="AL323" s="82">
        <v>0</v>
      </c>
      <c r="AM323" s="83"/>
      <c r="AN323" s="83"/>
      <c r="AO323" s="83"/>
      <c r="AP323" s="84"/>
      <c r="AQ323" s="82"/>
      <c r="AR323" s="84"/>
      <c r="AS323" s="82">
        <v>0</v>
      </c>
      <c r="AT323" s="83"/>
      <c r="AU323" s="83"/>
      <c r="AV323" s="83"/>
      <c r="AW323" s="84"/>
      <c r="AX323" s="82"/>
      <c r="AY323" s="84"/>
      <c r="AZ323" s="82">
        <v>0</v>
      </c>
      <c r="BA323" s="83"/>
      <c r="BB323" s="83"/>
      <c r="BC323" s="83"/>
      <c r="BD323" s="84"/>
      <c r="BE323" s="82"/>
      <c r="BF323" s="84"/>
      <c r="BG323" s="82">
        <v>0</v>
      </c>
      <c r="BH323" s="83"/>
      <c r="BI323" s="83"/>
      <c r="BJ323" s="83"/>
      <c r="BK323" s="84"/>
      <c r="BL323" s="82"/>
      <c r="BM323" s="84"/>
      <c r="BN323" s="82">
        <v>0</v>
      </c>
      <c r="BO323" s="83"/>
      <c r="BP323" s="83"/>
      <c r="BQ323" s="83"/>
      <c r="BR323" s="84"/>
      <c r="BS323" s="82"/>
      <c r="BT323" s="84"/>
      <c r="BU323" s="82">
        <v>0</v>
      </c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60">
        <f>SUM(J322,J319,J316,J313,J310,J307,J304,J301,J298)</f>
        <v>239</v>
      </c>
      <c r="K325" s="83"/>
      <c r="L325" s="83"/>
      <c r="M325" s="83"/>
      <c r="N325" s="84"/>
      <c r="O325" s="82"/>
      <c r="P325" s="84"/>
      <c r="Q325" s="60">
        <f>SUM(Q322,Q319,Q316,Q313,Q310,Q307,Q304,Q301,Q298)</f>
        <v>239</v>
      </c>
      <c r="R325" s="83"/>
      <c r="S325" s="83"/>
      <c r="T325" s="83"/>
      <c r="U325" s="84"/>
      <c r="V325" s="82"/>
      <c r="W325" s="84"/>
      <c r="X325" s="60">
        <f>SUM(X322,X319,X316,X313,X310,X307,X304,X301,X298)</f>
        <v>239</v>
      </c>
      <c r="Y325" s="83"/>
      <c r="Z325" s="83"/>
      <c r="AA325" s="83"/>
      <c r="AB325" s="84"/>
      <c r="AC325" s="82"/>
      <c r="AD325" s="84"/>
      <c r="AE325" s="60">
        <f>SUM(AE322,AE319,AE316,AE313,AE310,AE307,AE304,AE301,AE298)</f>
        <v>239</v>
      </c>
      <c r="AF325" s="83"/>
      <c r="AG325" s="83"/>
      <c r="AH325" s="83"/>
      <c r="AI325" s="84"/>
      <c r="AJ325" s="82"/>
      <c r="AK325" s="84"/>
      <c r="AL325" s="60">
        <f>SUM(AL322,AL319,AL316,AL313,AL310,AL307,AL304,AL301,AL298)</f>
        <v>239</v>
      </c>
      <c r="AM325" s="83"/>
      <c r="AN325" s="83"/>
      <c r="AO325" s="83"/>
      <c r="AP325" s="84"/>
      <c r="AQ325" s="82"/>
      <c r="AR325" s="84"/>
      <c r="AS325" s="60">
        <f>SUM(AS322,AS319,AS316,AS313,AS310,AS307,AS304,AS301,AS298)</f>
        <v>239</v>
      </c>
      <c r="AT325" s="83"/>
      <c r="AU325" s="83"/>
      <c r="AV325" s="83"/>
      <c r="AW325" s="84"/>
      <c r="AX325" s="82"/>
      <c r="AY325" s="84"/>
      <c r="AZ325" s="60">
        <f>SUM(AZ322,AZ319,AZ316,AZ313,AZ310,AZ307,AZ304,AZ301,AZ298)</f>
        <v>239</v>
      </c>
      <c r="BA325" s="83"/>
      <c r="BB325" s="83"/>
      <c r="BC325" s="83"/>
      <c r="BD325" s="84"/>
      <c r="BE325" s="82"/>
      <c r="BF325" s="84"/>
      <c r="BG325" s="60">
        <f>SUM(BG322,BG319,BG316,BG313,BG310,BG307,BG304,BG301,BG298)</f>
        <v>239</v>
      </c>
      <c r="BH325" s="83"/>
      <c r="BI325" s="83"/>
      <c r="BJ325" s="83"/>
      <c r="BK325" s="84"/>
      <c r="BL325" s="82"/>
      <c r="BM325" s="84"/>
      <c r="BN325" s="60">
        <f>SUM(BN322,BN319,BN316,BN313,BN310,BN307,BN304,BN301,BN298)</f>
        <v>239</v>
      </c>
      <c r="BO325" s="83"/>
      <c r="BP325" s="83"/>
      <c r="BQ325" s="83"/>
      <c r="BR325" s="84"/>
      <c r="BS325" s="82"/>
      <c r="BT325" s="84"/>
      <c r="BU325" s="60">
        <f>SUM(BU322,BU319,BU316,BU313,BU310,BU307,BU304,BU301,BU298)</f>
        <v>239</v>
      </c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60">
        <f>SUM(J323,J320,J317,J314,J311,J308,J305,J302,J299)</f>
        <v>211</v>
      </c>
      <c r="K326" s="83"/>
      <c r="L326" s="83"/>
      <c r="M326" s="83"/>
      <c r="N326" s="84"/>
      <c r="O326" s="82"/>
      <c r="P326" s="84"/>
      <c r="Q326" s="60">
        <f>SUM(Q323,Q320,Q317,Q314,Q311,Q308,Q305,Q302,Q299)</f>
        <v>211</v>
      </c>
      <c r="R326" s="83"/>
      <c r="S326" s="83"/>
      <c r="T326" s="83"/>
      <c r="U326" s="84"/>
      <c r="V326" s="82"/>
      <c r="W326" s="84"/>
      <c r="X326" s="60">
        <f>SUM(X323,X320,X317,X314,X311,X308,X305,X302,X299)</f>
        <v>211</v>
      </c>
      <c r="Y326" s="83"/>
      <c r="Z326" s="83"/>
      <c r="AA326" s="83"/>
      <c r="AB326" s="84"/>
      <c r="AC326" s="82"/>
      <c r="AD326" s="84"/>
      <c r="AE326" s="60">
        <f>SUM(AE323,AE320,AE317,AE314,AE311,AE308,AE305,AE302,AE299)</f>
        <v>211</v>
      </c>
      <c r="AF326" s="83"/>
      <c r="AG326" s="83"/>
      <c r="AH326" s="83"/>
      <c r="AI326" s="84"/>
      <c r="AJ326" s="82"/>
      <c r="AK326" s="84"/>
      <c r="AL326" s="60">
        <f>SUM(AL323,AL320,AL317,AL314,AL311,AL308,AL305,AL302,AL299)</f>
        <v>211</v>
      </c>
      <c r="AM326" s="83"/>
      <c r="AN326" s="83"/>
      <c r="AO326" s="83"/>
      <c r="AP326" s="84"/>
      <c r="AQ326" s="82"/>
      <c r="AR326" s="84"/>
      <c r="AS326" s="60">
        <f>SUM(AS323,AS320,AS317,AS314,AS311,AS308,AS305,AS302,AS299)</f>
        <v>211</v>
      </c>
      <c r="AT326" s="83"/>
      <c r="AU326" s="83"/>
      <c r="AV326" s="83"/>
      <c r="AW326" s="84"/>
      <c r="AX326" s="82"/>
      <c r="AY326" s="84"/>
      <c r="AZ326" s="60">
        <f>SUM(AZ323,AZ320,AZ317,AZ314,AZ311,AZ308,AZ305,AZ302,AZ299)</f>
        <v>211</v>
      </c>
      <c r="BA326" s="83"/>
      <c r="BB326" s="83"/>
      <c r="BC326" s="83"/>
      <c r="BD326" s="84"/>
      <c r="BE326" s="82"/>
      <c r="BF326" s="84"/>
      <c r="BG326" s="60">
        <f>SUM(BG323,BG320,BG317,BG314,BG311,BG308,BG305,BG302,BG299)</f>
        <v>211</v>
      </c>
      <c r="BH326" s="83"/>
      <c r="BI326" s="83"/>
      <c r="BJ326" s="83"/>
      <c r="BK326" s="84"/>
      <c r="BL326" s="82"/>
      <c r="BM326" s="84"/>
      <c r="BN326" s="60">
        <f>SUM(BN323,BN320,BN317,BN314,BN311,BN308,BN305,BN302,BN299)</f>
        <v>211</v>
      </c>
      <c r="BO326" s="83"/>
      <c r="BP326" s="83"/>
      <c r="BQ326" s="83"/>
      <c r="BR326" s="84"/>
      <c r="BS326" s="82"/>
      <c r="BT326" s="84"/>
      <c r="BU326" s="60">
        <f>SUM(BU323,BU320,BU317,BU314,BU311,BU308,BU305,BU302,BU299)</f>
        <v>211</v>
      </c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450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450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450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450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450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450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450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450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450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450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>
        <v>239</v>
      </c>
      <c r="U330" s="148"/>
      <c r="V330" s="148"/>
      <c r="W330" s="148">
        <v>211</v>
      </c>
      <c r="X330" s="148"/>
      <c r="Y330" s="148"/>
      <c r="Z330" s="148">
        <f>SUM(T330:Y330)</f>
        <v>450</v>
      </c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>
        <v>239</v>
      </c>
      <c r="U331" s="148"/>
      <c r="V331" s="148"/>
      <c r="W331" s="148">
        <v>211</v>
      </c>
      <c r="X331" s="148"/>
      <c r="Y331" s="148"/>
      <c r="Z331" s="148">
        <f>SUM(T331:Y331)</f>
        <v>450</v>
      </c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213">
        <f>T330/T331</f>
        <v>1</v>
      </c>
      <c r="U332" s="213"/>
      <c r="V332" s="213"/>
      <c r="W332" s="213">
        <f>W330/W331</f>
        <v>1</v>
      </c>
      <c r="X332" s="213"/>
      <c r="Y332" s="213"/>
      <c r="Z332" s="213">
        <f>Z330/Z331</f>
        <v>1</v>
      </c>
      <c r="AA332" s="213"/>
      <c r="AB332" s="213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10"/>
      <c r="C336" s="211"/>
      <c r="D336" s="211"/>
      <c r="E336" s="211"/>
      <c r="F336" s="211"/>
      <c r="G336" s="211"/>
      <c r="H336" s="212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10" t="s">
        <v>74</v>
      </c>
      <c r="C337" s="211"/>
      <c r="D337" s="211"/>
      <c r="E337" s="211"/>
      <c r="F337" s="211"/>
      <c r="G337" s="211"/>
      <c r="H337" s="212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J21:M21"/>
    <mergeCell ref="J22:M22"/>
    <mergeCell ref="J23:M23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J57:M57"/>
    <mergeCell ref="J58:M58"/>
    <mergeCell ref="J59:M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J91:M91"/>
    <mergeCell ref="J92:M92"/>
    <mergeCell ref="J93:M93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J125:M125"/>
    <mergeCell ref="J126:M126"/>
    <mergeCell ref="J127:M127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 r:id="rId1ps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2026-05-17T12:43:33+00:00</dcterms:modified>
  <dc:title/>
  <dc:description/>
  <dc:subject/>
  <cp:keywords/>
  <cp:category/>
</cp:coreProperties>
</file>