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78" visibility="visible"/>
  </bookViews>
  <sheets>
    <sheet name="PT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<sst xmlns="http://schemas.openxmlformats.org/spreadsheetml/2006/main" uniqueCount="119">
  <si>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Quality Form</t>
  </si>
  <si>
    <t xml:space="preserve">Document Code: </t>
  </si>
  <si>
    <t>OK sa DepEd - School-Based Feeding Program (SBFP)</t>
  </si>
  <si>
    <t>Revision:</t>
  </si>
  <si>
    <t>Program Terminal Report Form</t>
  </si>
  <si>
    <t>Effectivity date: 06-1-2024</t>
  </si>
  <si>
    <t>(SBFP PTR - Form A)</t>
  </si>
  <si>
    <t>BLSS-School Health Division</t>
  </si>
  <si>
    <t>Region/SDO:</t>
  </si>
  <si>
    <t>Malaybalay City</t>
  </si>
  <si>
    <t>Period Covered:</t>
  </si>
  <si>
    <t>School Name and Address:</t>
  </si>
  <si>
    <t>Sumpong Central School</t>
  </si>
  <si>
    <t>Telephone Number:</t>
  </si>
  <si>
    <t>Mobile Number:</t>
  </si>
  <si>
    <t>Name of School Head:</t>
  </si>
  <si>
    <t>Paul Smith</t>
  </si>
  <si>
    <t>Email Address:</t>
  </si>
  <si>
    <t>School ID No.:</t>
  </si>
  <si>
    <t>School Enrolment:</t>
  </si>
  <si>
    <t>A.  ACCOMPLISHMENTS</t>
  </si>
  <si>
    <t>1. SBFP Coverage:  Total Number of Beneficiaries for Nutritious Food Products or Hot Meals</t>
  </si>
  <si>
    <t>Grade Level</t>
  </si>
  <si>
    <t>Sex</t>
  </si>
  <si>
    <t>All Kinder</t>
  </si>
  <si>
    <t>Severely Wasted</t>
  </si>
  <si>
    <t>Wasted</t>
  </si>
  <si>
    <t>Stunted</t>
  </si>
  <si>
    <t>Pupils-at-Risk-of-Dropping-Out (PARDOs)</t>
  </si>
  <si>
    <t>Indigenous Peoples</t>
  </si>
  <si>
    <t>Indigent Learners</t>
  </si>
  <si>
    <t>Last Mile Schools (with less than 100)</t>
  </si>
  <si>
    <t>TOTAL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</si>
  <si>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</si>
  <si>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</si>
  <si>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</si>
  <si>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</si>
  <si>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</si>
  <si>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</si>
  <si>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</si>
  <si>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</si>
  <si>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</si>
  <si>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</si>
  <si>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</si>
  <si>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Multigrade</t>
  </si>
  <si>
    <t>GRAND TOTAL</t>
  </si>
  <si>
    <t>2. SBFP Coverage:  Total Number of Beneficiaries for Milk sourced from NDA/PCC</t>
  </si>
  <si>
    <t>3. SBFP Coverage:  Total Number of Beneficiaries for Milk from Commercial Sources</t>
  </si>
  <si>
    <t>4. SBFP Coverage:  Total Number of Beneficiaries for Milk Donated by Partners</t>
  </si>
  <si>
    <t>5. SBFP Coverage:  Grand Total Number of  Beneficiaries for Milk (All sources)</t>
  </si>
  <si>
    <t>6. Nutritional Status Before and After Feeding - BMI</t>
  </si>
  <si>
    <t>RO</t>
  </si>
  <si>
    <t>Before Feeding</t>
  </si>
  <si>
    <t>After Feeding</t>
  </si>
  <si>
    <t>Normal</t>
  </si>
  <si>
    <t>Overweight</t>
  </si>
  <si>
    <t>Obese</t>
  </si>
  <si>
    <t>No.</t>
  </si>
  <si>
    <t>%</t>
  </si>
  <si>
    <t>7. Nutritional Status Before and After Feeding - HFA</t>
  </si>
  <si>
    <t>Severely Stunted</t>
  </si>
  <si>
    <t>Tall</t>
  </si>
  <si>
    <t xml:space="preserve">8. Profile of Beneficiaries </t>
  </si>
  <si>
    <t>Target No.</t>
  </si>
  <si>
    <t>Actual No.</t>
  </si>
  <si>
    <t>No. Dewormed</t>
  </si>
  <si>
    <t>No of 4Ps Beneficiaries</t>
  </si>
  <si>
    <t>No. of Repeaters from Previous Years</t>
  </si>
  <si>
    <t>9. Percentage Attendance</t>
  </si>
  <si>
    <t>SDOs</t>
  </si>
  <si>
    <t>MONTHS</t>
  </si>
  <si>
    <t>10. Completion Rate</t>
  </si>
  <si>
    <t>Number of beneficiaries at the start of feeding:</t>
  </si>
  <si>
    <t>Number of beneficiaries after feeding:</t>
  </si>
  <si>
    <t>Percentage ( # of beneficiaries at the start ÷ # of beneficiaries after feeding) X 100%</t>
  </si>
  <si>
    <t>11. Type of Food Commodities Distributed to Learners (Check applicable items)</t>
  </si>
  <si>
    <t>No. of Feeding Days</t>
  </si>
  <si>
    <t>Hot meals</t>
  </si>
  <si>
    <t>Nutritious Food Products</t>
  </si>
  <si>
    <t>Enutribun</t>
  </si>
  <si>
    <t>Milky Bun</t>
  </si>
  <si>
    <t>Fortified/Enriched Bread</t>
  </si>
  <si>
    <t>Fruits / Fruit Products</t>
  </si>
  <si>
    <t>Rootcrops</t>
  </si>
  <si>
    <t>Vegetables</t>
  </si>
  <si>
    <t>Nutripacks</t>
  </si>
  <si>
    <t>Cereals/Grains</t>
  </si>
  <si>
    <t>Milk</t>
  </si>
  <si>
    <t>Fresh Milk</t>
  </si>
  <si>
    <t>Sterilized Milk</t>
  </si>
  <si>
    <t>Commercial Milk</t>
  </si>
  <si>
    <t>Provided by Partner</t>
  </si>
  <si>
    <t>12.  SBFP Funds (for those with downloaded funds)</t>
  </si>
  <si>
    <t>Tranches</t>
  </si>
  <si>
    <t>Amount Received from RO</t>
  </si>
  <si>
    <t>Funds Utilized</t>
  </si>
  <si>
    <t>Percent Utilization                                    (col 3/2*100%)</t>
  </si>
  <si>
    <t>Total:</t>
  </si>
  <si>
    <t>B. DONATIONS/ RESOURCES GENERATED</t>
  </si>
  <si>
    <t>(Add Additional Sheets, if needed)</t>
  </si>
  <si>
    <t>Partner &amp; Type of Donations/Services Provided</t>
  </si>
  <si>
    <t>Quantity (if applicable)</t>
  </si>
  <si>
    <t>Estimated Cost  (if applicable)</t>
  </si>
  <si>
    <t>C.</t>
  </si>
  <si>
    <t xml:space="preserve">  SIGNIFICANT EVENTS OF SBFP, AND OTHER HEALTH AND NUTRITION PROGRAMS/
   EXPERIENCES/ GOOD PRACTICES</t>
  </si>
  <si>
    <t>What happened?</t>
  </si>
  <si>
    <t>Who were involved?</t>
  </si>
  <si>
    <t>When</t>
  </si>
  <si>
    <t>Outcome: What is/are its important contribution to the School-Based Feeding Program of the school?</t>
  </si>
  <si>
    <t>D. LESSONS LEARNED</t>
  </si>
  <si>
    <r>
      <rPr>
        <rFont val="Calibri"/>
        <b val="true"/>
        <i val="false"/>
        <strike val="false"/>
        <color rgb="FF000000"/>
        <sz val="12"/>
        <u val="none"/>
      </rPr>
      <t xml:space="preserve">G.  SUGGESTIONS TO STRENGTHEN SBFP</t>
    </r>
    <r>
      <rPr>
        <rFont val="Calibri"/>
        <b val="true"/>
        <i val="false"/>
        <strike val="false"/>
        <color rgb="FF000000"/>
        <sz val="11"/>
        <u val="none"/>
      </rPr>
      <t xml:space="preserve">   </t>
    </r>
    <r>
      <rPr>
        <rFont val="Calibri"/>
        <b val="false"/>
        <i val="true"/>
        <strike val="false"/>
        <color rgb="FF000000"/>
        <sz val="8"/>
        <u val="none"/>
      </rPr>
      <t xml:space="preserve">(Include support needed from Central, Region, and Division Office that can increase the impact of OK sa DepEd Program in the schools)</t>
    </r>
  </si>
  <si>
    <t>E.  PROPOSED PLAN OF ACTION AND RECOMMENDATIONS</t>
  </si>
  <si>
    <t>F.  PHOTOS (Before, During and After)</t>
  </si>
  <si>
    <t>Prepared by:</t>
  </si>
  <si>
    <t>Noted:</t>
  </si>
  <si>
    <t>Roberto Tupaz</t>
  </si>
  <si>
    <t>School Feeding Focal Person</t>
  </si>
  <si>
    <t>Schools Division Superintendent</t>
  </si>
  <si>
    <t xml:space="preserve">Date:  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</si>
</sst>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1"/>
      <color rgb="FF000000"/>
      <name val="Arial"/>
      <scheme val="minor"/>
    </font>
    <font>
      <b val="0"/>
      <i val="0"/>
      <strike val="0"/>
      <u val="none"/>
      <sz val="6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242424"/>
      <name val="Aptos Narrow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  <scheme val="minor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6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999999"/>
      </patternFill>
    </fill>
    <fill>
      <patternFill patternType="solid">
        <fgColor rgb="FFFFFF00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rgb="FFC5E0B4"/>
        <bgColor rgb="FFFFFFFF"/>
      </patternFill>
    </fill>
    <fill>
      <patternFill patternType="solid">
        <fgColor rgb="FFFBE5D6"/>
        <bgColor rgb="FFFFFFFF"/>
      </patternFill>
    </fill>
  </fills>
  <borders count="30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21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vertical="center" textRotation="0" wrapText="false" shrinkToFit="false"/>
    </xf>
    <xf xfId="0" fontId="2" numFmtId="0" fillId="0" borderId="2" applyFont="1" applyNumberFormat="0" applyFill="0" applyBorder="1" applyAlignment="1">
      <alignment vertical="center" textRotation="0" wrapText="false" shrinkToFit="false"/>
    </xf>
    <xf xfId="0" fontId="2" numFmtId="0" fillId="0" borderId="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4" applyFont="1" applyNumberFormat="0" applyFill="0" applyBorder="1" applyAlignment="1">
      <alignment vertical="center" textRotation="0" wrapText="false" shrinkToFit="false"/>
    </xf>
    <xf xfId="0" fontId="1" numFmtId="0" fillId="0" borderId="5" applyFont="1" applyNumberFormat="0" applyFill="0" applyBorder="1" applyAlignment="1">
      <alignment vertical="center" textRotation="0" wrapText="false" shrinkToFit="false"/>
    </xf>
    <xf xfId="0" fontId="2" numFmtId="0" fillId="0" borderId="5" applyFont="1" applyNumberFormat="0" applyFill="0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vertical="center" textRotation="0" wrapText="false" shrinkToFit="false"/>
    </xf>
    <xf xfId="0" fontId="2" numFmtId="0" fillId="0" borderId="7" applyFont="1" applyNumberFormat="0" applyFill="0" applyBorder="1" applyAlignment="1">
      <alignment vertical="center" textRotation="0" wrapText="false" shrinkToFit="false"/>
    </xf>
    <xf xfId="0" fontId="2" numFmtId="0" fillId="0" borderId="8" applyFont="1" applyNumberFormat="0" applyFill="0" applyBorder="1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top" textRotation="0" wrapText="true" shrinkToFit="false"/>
    </xf>
    <xf xfId="0" fontId="7" numFmtId="0" fillId="0" borderId="0" applyFont="1" applyNumberFormat="0" applyFill="0" applyBorder="0" applyAlignment="1">
      <alignment horizontal="left" vertical="top" textRotation="0" wrapText="true" shrinkToFit="false"/>
    </xf>
    <xf xfId="0" fontId="2" numFmtId="0" fillId="0" borderId="9" applyFont="1" applyNumberFormat="0" applyFill="0" applyBorder="1" applyAlignment="1">
      <alignment vertical="center" textRotation="0" wrapText="false" shrinkToFit="false"/>
    </xf>
    <xf xfId="0" fontId="2" numFmtId="0" fillId="0" borderId="10" applyFont="1" applyNumberFormat="0" applyFill="0" applyBorder="1" applyAlignment="1">
      <alignment vertical="center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13" applyFont="1" applyNumberFormat="0" applyFill="0" applyBorder="1" applyAlignment="1">
      <alignment vertical="center" textRotation="0" wrapText="false" shrinkToFit="false"/>
    </xf>
    <xf xfId="0" fontId="5" numFmtId="0" fillId="0" borderId="14" applyFont="1" applyNumberFormat="0" applyFill="0" applyBorder="1" applyAlignment="1">
      <alignment vertical="center" textRotation="0" wrapText="false" shrinkToFit="false"/>
    </xf>
    <xf xfId="0" fontId="5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2" borderId="9" applyFont="1" applyNumberFormat="0" applyFill="1" applyBorder="1" applyAlignment="1">
      <alignment horizontal="righ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6" numFmtId="0" fillId="0" borderId="16" applyFont="1" applyNumberFormat="0" applyFill="0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vertical="center" textRotation="0" wrapText="false" shrinkToFit="false"/>
    </xf>
    <xf xfId="0" fontId="2" numFmtId="0" fillId="0" borderId="18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0"/>
    <xf xfId="0" fontId="5" numFmtId="0" fillId="0" borderId="0" applyFont="1" applyNumberFormat="0" applyFill="0" applyBorder="0" applyAlignment="1">
      <alignment vertical="center" textRotation="0" wrapText="tru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left" vertical="center" textRotation="0" wrapText="false" shrinkToFit="false"/>
    </xf>
    <xf xfId="0" fontId="2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21" applyFont="1" applyNumberFormat="0" applyFill="0" applyBorder="1" applyAlignment="1">
      <alignment horizontal="left" vertical="center" textRotation="0" wrapText="false" shrinkToFit="false"/>
    </xf>
    <xf xfId="0" fontId="2" numFmtId="0" fillId="3" borderId="20" applyFont="1" applyNumberFormat="0" applyFill="1" applyBorder="1" applyAlignment="0"/>
    <xf xfId="0" fontId="2" numFmtId="0" fillId="3" borderId="19" applyFont="1" applyNumberFormat="0" applyFill="1" applyBorder="1" applyAlignment="0"/>
    <xf xfId="0" fontId="2" numFmtId="0" fillId="3" borderId="21" applyFont="1" applyNumberFormat="0" applyFill="1" applyBorder="1" applyAlignment="0"/>
    <xf xfId="0" fontId="8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left" vertical="center" textRotation="0" wrapText="false" shrinkToFit="false"/>
    </xf>
    <xf xfId="0" fontId="2" numFmtId="0" fillId="0" borderId="12" applyFont="1" applyNumberFormat="0" applyFill="0" applyBorder="1" applyAlignment="1">
      <alignment horizontal="left" vertical="center" textRotation="0" wrapText="false" shrinkToFit="false"/>
    </xf>
    <xf xfId="0" fontId="2" numFmtId="0" fillId="0" borderId="13" applyFont="1" applyNumberFormat="0" applyFill="0" applyBorder="1" applyAlignment="1">
      <alignment horizontal="left" vertical="center" textRotation="0" wrapText="false" shrinkToFit="false"/>
    </xf>
    <xf xfId="0" fontId="9" numFmtId="0" fillId="0" borderId="20" applyFont="1" applyNumberFormat="0" applyFill="0" applyBorder="1" applyAlignment="1">
      <alignment horizontal="left" vertical="center" textRotation="0" wrapText="false" shrinkToFit="false"/>
    </xf>
    <xf xfId="0" fontId="10" numFmtId="0" fillId="0" borderId="19" applyFont="1" applyNumberFormat="0" applyFill="0" applyBorder="1" applyAlignment="1">
      <alignment horizontal="right" vertical="center" textRotation="0" wrapText="false" shrinkToFit="false"/>
    </xf>
    <xf xfId="0" fontId="11" numFmtId="0" fillId="0" borderId="0" applyFont="1" applyNumberFormat="0" applyFill="0" applyBorder="0" applyAlignment="0"/>
    <xf xfId="0" fontId="4" numFmtId="0" fillId="0" borderId="20" applyFont="1" applyNumberFormat="0" applyFill="0" applyBorder="1" applyAlignment="1">
      <alignment horizontal="center" vertical="center" textRotation="0" wrapText="false" shrinkToFit="false"/>
    </xf>
    <xf xfId="0" fontId="4" numFmtId="0" fillId="0" borderId="19" applyFont="1" applyNumberFormat="0" applyFill="0" applyBorder="1" applyAlignment="1">
      <alignment horizontal="center" vertical="center" textRotation="0" wrapText="false" shrinkToFit="false"/>
    </xf>
    <xf xfId="0" fontId="4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false" shrinkToFit="false"/>
    </xf>
    <xf xfId="0" fontId="5" numFmtId="0" fillId="0" borderId="19" applyFont="1" applyNumberFormat="0" applyFill="0" applyBorder="1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true" shrinkToFit="false"/>
    </xf>
    <xf xfId="0" fontId="2" numFmtId="9" fillId="0" borderId="22" applyFont="1" applyNumberFormat="1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12" numFmtId="0" fillId="0" borderId="17" applyFont="1" applyNumberFormat="0" applyFill="0" applyBorder="1" applyAlignment="0"/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12" numFmtId="0" fillId="0" borderId="18" applyFont="1" applyNumberFormat="0" applyFill="0" applyBorder="1" applyAlignment="0"/>
    <xf xfId="0" fontId="3" numFmtId="0" fillId="0" borderId="19" applyFont="1" applyNumberFormat="0" applyFill="0" applyBorder="1" applyAlignment="1">
      <alignment horizontal="left" vertical="center" textRotation="0" wrapText="false" shrinkToFit="false"/>
    </xf>
    <xf xfId="0" fontId="12" numFmtId="0" fillId="0" borderId="19" applyFont="1" applyNumberFormat="0" applyFill="0" applyBorder="1" applyAlignment="0"/>
    <xf xfId="0" fontId="12" numFmtId="0" fillId="0" borderId="21" applyFont="1" applyNumberFormat="0" applyFill="0" applyBorder="1" applyAlignment="0"/>
    <xf xfId="0" fontId="1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9" applyFont="1" applyNumberFormat="0" applyFill="0" applyBorder="1" applyAlignment="1">
      <alignment horizontal="left" vertical="top" textRotation="0" wrapText="false" shrinkToFit="false"/>
    </xf>
    <xf xfId="0" fontId="12" numFmtId="0" fillId="0" borderId="10" applyFont="1" applyNumberFormat="0" applyFill="0" applyBorder="1" applyAlignment="0"/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12" numFmtId="0" fillId="0" borderId="2" applyFont="1" applyNumberFormat="0" applyFill="0" applyBorder="1" applyAlignment="0"/>
    <xf xfId="0" fontId="12" numFmtId="0" fillId="0" borderId="3" applyFont="1" applyNumberFormat="0" applyFill="0" applyBorder="1" applyAlignment="0"/>
    <xf xfId="0" fontId="12" numFmtId="0" fillId="0" borderId="5" applyFont="1" applyNumberFormat="0" applyFill="0" applyBorder="1" applyAlignment="0"/>
    <xf xfId="0" fontId="0" numFmtId="0" fillId="0" borderId="0" applyFont="0" applyNumberFormat="0" applyFill="0" applyBorder="0" applyAlignment="0"/>
    <xf xfId="0" fontId="12" numFmtId="0" fillId="0" borderId="4" applyFont="1" applyNumberFormat="0" applyFill="0" applyBorder="1" applyAlignment="0"/>
    <xf xfId="0" fontId="13" numFmtId="0" fillId="0" borderId="1" applyFont="1" applyNumberFormat="0" applyFill="0" applyBorder="1" applyAlignment="1">
      <alignment horizontal="center" vertical="center" textRotation="0" wrapText="false" shrinkToFit="false"/>
    </xf>
    <xf xfId="0" fontId="12" numFmtId="0" fillId="0" borderId="6" applyFont="1" applyNumberFormat="0" applyFill="0" applyBorder="1" applyAlignment="0"/>
    <xf xfId="0" fontId="12" numFmtId="0" fillId="0" borderId="7" applyFont="1" applyNumberFormat="0" applyFill="0" applyBorder="1" applyAlignment="0"/>
    <xf xfId="0" fontId="12" numFmtId="0" fillId="0" borderId="8" applyFont="1" applyNumberFormat="0" applyFill="0" applyBorder="1" applyAlignment="0"/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6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5" numFmtId="0" fillId="0" borderId="16" applyFont="1" applyNumberFormat="0" applyFill="0" applyBorder="1" applyAlignment="1">
      <alignment horizontal="center" vertical="center" textRotation="0" wrapText="true" shrinkToFit="false"/>
    </xf>
    <xf xfId="0" fontId="12" numFmtId="0" fillId="0" borderId="11" applyFont="1" applyNumberFormat="0" applyFill="0" applyBorder="1" applyAlignment="0"/>
    <xf xfId="0" fontId="12" numFmtId="0" fillId="0" borderId="12" applyFont="1" applyNumberFormat="0" applyFill="0" applyBorder="1" applyAlignment="0"/>
    <xf xfId="0" fontId="12" numFmtId="0" fillId="0" borderId="13" applyFont="1" applyNumberFormat="0" applyFill="0" applyBorder="1" applyAlignment="0"/>
    <xf xfId="0" fontId="5" numFmtId="0" fillId="0" borderId="22" applyFont="1" applyNumberFormat="0" applyFill="0" applyBorder="1" applyAlignment="1">
      <alignment horizontal="center" vertical="center" textRotation="0" wrapText="true" shrinkToFit="false"/>
    </xf>
    <xf xfId="0" fontId="12" numFmtId="0" fillId="0" borderId="22" applyFont="1" applyNumberFormat="0" applyFill="0" applyBorder="1" applyAlignment="0"/>
    <xf xfId="0" fontId="14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vertical="center" textRotation="0" wrapText="false" shrinkToFit="false"/>
    </xf>
    <xf xfId="0" fontId="3" numFmtId="0" fillId="0" borderId="20" applyFont="1" applyNumberFormat="0" applyFill="0" applyBorder="1" applyAlignment="1">
      <alignment horizontal="center" vertical="top" textRotation="0" wrapText="false" shrinkToFit="false"/>
    </xf>
    <xf xfId="0" fontId="3" numFmtId="0" fillId="0" borderId="19" applyFont="1" applyNumberFormat="0" applyFill="0" applyBorder="1" applyAlignment="1">
      <alignment horizontal="center" vertical="top" textRotation="0" wrapText="false" shrinkToFit="false"/>
    </xf>
    <xf xfId="0" fontId="12" numFmtId="0" fillId="0" borderId="19" applyFont="1" applyNumberFormat="0" applyFill="0" applyBorder="1" applyAlignment="1">
      <alignment horizontal="center" vertical="bottom" textRotation="0" wrapText="false" shrinkToFit="false"/>
    </xf>
    <xf xfId="0" fontId="12" numFmtId="0" fillId="0" borderId="21" applyFont="1" applyNumberFormat="0" applyFill="0" applyBorder="1" applyAlignment="1">
      <alignment horizontal="center" vertical="bottom" textRotation="0" wrapText="false" shrinkToFit="false"/>
    </xf>
    <xf xfId="0" fontId="5" numFmtId="0" fillId="0" borderId="9" applyFont="1" applyNumberFormat="0" applyFill="0" applyBorder="1" applyAlignment="1">
      <alignment vertical="center" textRotation="0" wrapText="true" shrinkToFit="false"/>
    </xf>
    <xf xfId="0" fontId="12" numFmtId="0" fillId="0" borderId="9" applyFont="1" applyNumberFormat="0" applyFill="0" applyBorder="1" applyAlignment="0"/>
    <xf xfId="0" fontId="5" numFmtId="0" fillId="0" borderId="20" applyFont="1" applyNumberFormat="0" applyFill="0" applyBorder="1" applyAlignment="1">
      <alignment horizontal="left" vertical="center" textRotation="0" wrapText="true" shrinkToFit="false"/>
    </xf>
    <xf xfId="0" fontId="2" numFmtId="0" fillId="0" borderId="16" applyFont="1" applyNumberFormat="0" applyFill="0" applyBorder="1" applyAlignment="1">
      <alignment horizontal="right" vertical="center" textRotation="0" wrapText="false" shrinkToFit="false"/>
    </xf>
    <xf xfId="0" fontId="2" numFmtId="0" fillId="0" borderId="22" applyFont="1" applyNumberFormat="0" applyFill="0" applyBorder="1" applyAlignment="1">
      <alignment horizontal="right" vertical="center" textRotation="0" wrapText="false" shrinkToFit="false"/>
    </xf>
    <xf xfId="0" fontId="5" numFmtId="0" fillId="0" borderId="11" applyFont="1" applyNumberFormat="0" applyFill="0" applyBorder="1" applyAlignment="1">
      <alignment vertical="center" textRotation="0" wrapText="true" shrinkToFit="false"/>
    </xf>
    <xf xfId="0" fontId="2" numFmtId="0" fillId="0" borderId="21" applyFont="1" applyNumberFormat="0" applyFill="0" applyBorder="1" applyAlignment="1">
      <alignment horizontal="right" vertical="center" textRotation="0" wrapText="false" shrinkToFit="false"/>
    </xf>
    <xf xfId="0" fontId="2" numFmtId="0" fillId="4" borderId="22" applyFont="1" applyNumberFormat="0" applyFill="1" applyBorder="1" applyAlignment="1">
      <alignment horizontal="right" vertical="center" textRotation="0" wrapText="false" shrinkToFit="false"/>
    </xf>
    <xf xfId="0" fontId="5" numFmtId="0" fillId="0" borderId="16" applyFont="1" applyNumberFormat="0" applyFill="0" applyBorder="1" applyAlignment="1">
      <alignment vertical="center" textRotation="0" wrapText="true" shrinkToFit="false"/>
    </xf>
    <xf xfId="0" fontId="2" numFmtId="0" fillId="0" borderId="20" applyFont="1" applyNumberFormat="0" applyFill="0" applyBorder="1" applyAlignment="1">
      <alignment horizontal="right" vertical="center" textRotation="0" wrapText="false" shrinkToFit="false"/>
    </xf>
    <xf xfId="0" fontId="2" numFmtId="0" fillId="4" borderId="22" applyFont="1" applyNumberFormat="0" applyFill="1" applyBorder="1" applyAlignment="1">
      <alignment horizontal="center" vertical="center" textRotation="0" wrapText="false" shrinkToFit="false"/>
    </xf>
    <xf xfId="0" fontId="4" numFmtId="0" fillId="0" borderId="12" applyFont="1" applyNumberFormat="0" applyFill="0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right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true" shrinkToFit="false"/>
    </xf>
    <xf xfId="0" fontId="5" numFmtId="0" fillId="5" borderId="20" applyFont="1" applyNumberFormat="0" applyFill="1" applyBorder="1" applyAlignment="1">
      <alignment horizontal="center" vertical="center" textRotation="0" wrapText="true" shrinkToFit="false"/>
    </xf>
    <xf xfId="0" fontId="5" numFmtId="0" fillId="5" borderId="19" applyFont="1" applyNumberFormat="0" applyFill="1" applyBorder="1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10" applyFont="1" applyNumberFormat="0" applyFill="0" applyBorder="1" applyAlignment="1">
      <alignment vertical="center" textRotation="0" wrapText="true" shrinkToFit="false"/>
    </xf>
    <xf xfId="0" fontId="5" numFmtId="0" fillId="0" borderId="12" applyFont="1" applyNumberFormat="0" applyFill="0" applyBorder="1" applyAlignment="1">
      <alignment vertical="center" textRotation="0" wrapText="true" shrinkToFit="false"/>
    </xf>
    <xf xfId="0" fontId="5" numFmtId="0" fillId="0" borderId="13" applyFont="1" applyNumberFormat="0" applyFill="0" applyBorder="1" applyAlignment="1">
      <alignment vertical="center" textRotation="0" wrapText="true" shrinkToFit="false"/>
    </xf>
    <xf xfId="0" fontId="5" numFmtId="0" fillId="0" borderId="11" applyFont="1" applyNumberFormat="0" applyFill="0" applyBorder="1" applyAlignment="1">
      <alignment horizontal="left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true" shrinkToFit="false"/>
    </xf>
    <xf xfId="0" fontId="5" numFmtId="0" fillId="0" borderId="13" applyFont="1" applyNumberFormat="0" applyFill="0" applyBorder="1" applyAlignment="1">
      <alignment horizontal="left" vertical="center" textRotation="0" wrapText="tru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8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tru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vertical="center" textRotation="0" wrapText="true" shrinkToFit="false"/>
    </xf>
    <xf xfId="0" fontId="5" numFmtId="0" fillId="0" borderId="21" applyFont="1" applyNumberFormat="0" applyFill="0" applyBorder="1" applyAlignment="1">
      <alignment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1">
      <alignment vertical="center" textRotation="0" wrapText="true" shrinkToFit="false"/>
    </xf>
    <xf xfId="0" fontId="5" numFmtId="0" fillId="0" borderId="18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horizontal="left" vertical="center" textRotation="0" wrapText="true" shrinkToFit="false"/>
    </xf>
    <xf xfId="0" fontId="5" numFmtId="0" fillId="0" borderId="21" applyFont="1" applyNumberFormat="0" applyFill="0" applyBorder="1" applyAlignment="1">
      <alignment horizontal="left" vertical="center" textRotation="0" wrapText="true" shrinkToFit="false"/>
    </xf>
    <xf xfId="0" fontId="5" numFmtId="0" fillId="0" borderId="22" applyFont="1" applyNumberFormat="0" applyFill="0" applyBorder="1" applyAlignment="1">
      <alignment vertical="center" textRotation="0" wrapText="true" shrinkToFit="false"/>
    </xf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20" applyFont="1" applyNumberFormat="0" applyFill="0" applyBorder="1" applyAlignment="1">
      <alignment horizontal="left" vertical="top" textRotation="0" wrapText="false" shrinkToFit="false"/>
    </xf>
    <xf xfId="0" fontId="5" numFmtId="0" fillId="0" borderId="20" applyFont="1" applyNumberFormat="0" applyFill="0" applyBorder="1" applyAlignment="1">
      <alignment horizontal="left" vertical="top" textRotation="0" wrapText="true" shrinkToFit="false"/>
    </xf>
    <xf xfId="0" fontId="5" numFmtId="0" fillId="6" borderId="22" applyFont="1" applyNumberFormat="0" applyFill="1" applyBorder="1" applyAlignment="1">
      <alignment horizontal="center" vertical="center" textRotation="0" wrapText="true" shrinkToFit="false"/>
    </xf>
    <xf xfId="0" fontId="5" numFmtId="0" fillId="5" borderId="16" applyFont="1" applyNumberFormat="0" applyFill="1" applyBorder="1" applyAlignment="1">
      <alignment horizontal="center" vertical="center" textRotation="0" wrapText="true" shrinkToFit="false"/>
    </xf>
    <xf xfId="0" fontId="5" numFmtId="0" fillId="5" borderId="17" applyFont="1" applyNumberFormat="0" applyFill="1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false" shrinkToFit="false"/>
    </xf>
    <xf xfId="0" fontId="5" numFmtId="0" fillId="7" borderId="22" applyFont="1" applyNumberFormat="0" applyFill="1" applyBorder="1" applyAlignment="1">
      <alignment horizontal="center" vertical="center" textRotation="0" wrapText="true" shrinkToFit="false"/>
    </xf>
    <xf xfId="0" fontId="6" numFmtId="0" fillId="0" borderId="20" applyFont="1" applyNumberFormat="0" applyFill="0" applyBorder="1" applyAlignment="1">
      <alignment vertical="center" textRotation="0" wrapText="false" shrinkToFit="false"/>
    </xf>
    <xf xfId="0" fontId="7" numFmtId="0" fillId="0" borderId="20" applyFont="1" applyNumberFormat="0" applyFill="0" applyBorder="1" applyAlignment="1">
      <alignment horizontal="left" vertical="top" textRotation="0" wrapText="true" shrinkToFit="false"/>
    </xf>
    <xf xfId="0" fontId="6" numFmtId="0" fillId="0" borderId="20" applyFont="1" applyNumberFormat="0" applyFill="0" applyBorder="1" applyAlignment="1">
      <alignment horizontal="left" vertical="top" textRotation="0" wrapText="false" shrinkToFit="false"/>
    </xf>
    <xf xfId="0" fontId="2" numFmtId="0" fillId="0" borderId="24" applyFont="1" applyNumberFormat="0" applyFill="0" applyBorder="1" applyAlignment="1">
      <alignment horizontal="left" vertical="center" textRotation="0" wrapText="false" shrinkToFit="false"/>
    </xf>
    <xf xfId="0" fontId="12" numFmtId="0" fillId="0" borderId="25" applyFont="1" applyNumberFormat="0" applyFill="0" applyBorder="1" applyAlignment="0"/>
    <xf xfId="0" fontId="12" numFmtId="0" fillId="0" borderId="26" applyFont="1" applyNumberFormat="0" applyFill="0" applyBorder="1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15" applyFont="1" applyNumberFormat="0" applyFill="0" applyBorder="1" applyAlignment="0"/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5" numFmtId="0" fillId="0" borderId="27" applyFont="1" applyNumberFormat="0" applyFill="0" applyBorder="1" applyAlignment="1">
      <alignment vertical="center" textRotation="0" wrapText="false" shrinkToFit="false"/>
    </xf>
    <xf xfId="0" fontId="12" numFmtId="0" fillId="0" borderId="27" applyFont="1" applyNumberFormat="0" applyFill="0" applyBorder="1" applyAlignment="0"/>
    <xf xfId="0" fontId="12" numFmtId="0" fillId="0" borderId="28" applyFont="1" applyNumberFormat="0" applyFill="0" applyBorder="1" applyAlignment="0"/>
    <xf xfId="0" fontId="5" numFmtId="0" fillId="0" borderId="29" applyFont="1" applyNumberFormat="0" applyFill="0" applyBorder="1" applyAlignment="1">
      <alignment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false" shrinkToFit="false"/>
    </xf>
    <xf xfId="0" fontId="5" numFmtId="0" fillId="0" borderId="19" applyFont="1" applyNumberFormat="0" applyFill="0" applyBorder="1" applyAlignment="1">
      <alignment horizontal="center" vertical="top" textRotation="0" wrapText="false" shrinkToFit="false"/>
    </xf>
    <xf xfId="0" fontId="5" numFmtId="0" fillId="0" borderId="21" applyFont="1" applyNumberFormat="0" applyFill="0" applyBorder="1" applyAlignment="1">
      <alignment horizontal="center" vertical="top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true" shrinkToFit="false"/>
    </xf>
    <xf xfId="0" fontId="5" numFmtId="0" fillId="0" borderId="19" applyFont="1" applyNumberFormat="0" applyFill="0" applyBorder="1" applyAlignment="1">
      <alignment horizontal="center" vertical="top" textRotation="0" wrapText="true" shrinkToFit="false"/>
    </xf>
    <xf xfId="0" fontId="5" numFmtId="0" fillId="0" borderId="21" applyFont="1" applyNumberFormat="0" applyFill="0" applyBorder="1" applyAlignment="1">
      <alignment horizontal="center" vertical="top" textRotation="0" wrapText="true" shrinkToFit="false"/>
    </xf>
    <xf xfId="0" fontId="2" numFmtId="0" fillId="0" borderId="22" applyFont="1" applyNumberFormat="0" applyFill="0" applyBorder="1" applyAlignment="1">
      <alignment horizontal="left" vertical="center" textRotation="0" wrapText="true" shrinkToFit="false"/>
    </xf>
    <xf xfId="0" fontId="5" numFmtId="0" fillId="8" borderId="20" applyFont="1" applyNumberFormat="0" applyFill="1" applyBorder="1" applyAlignment="1">
      <alignment horizontal="center" vertical="center" textRotation="0" wrapText="true" shrinkToFit="false"/>
    </xf>
    <xf xfId="0" fontId="5" numFmtId="0" fillId="8" borderId="19" applyFont="1" applyNumberFormat="0" applyFill="1" applyBorder="1" applyAlignment="1">
      <alignment horizontal="center" vertical="center" textRotation="0" wrapText="true" shrinkToFit="false"/>
    </xf>
    <xf xfId="0" fontId="5" numFmtId="0" fillId="8" borderId="16" applyFont="1" applyNumberFormat="0" applyFill="1" applyBorder="1" applyAlignment="1">
      <alignment horizontal="center" vertical="center" textRotation="0" wrapText="true" shrinkToFit="false"/>
    </xf>
    <xf xfId="0" fontId="5" numFmtId="0" fillId="8" borderId="17" applyFont="1" applyNumberFormat="0" applyFill="1" applyBorder="1" applyAlignment="1">
      <alignment horizontal="center" vertical="center" textRotation="0" wrapText="true" shrinkToFit="false"/>
    </xf>
    <xf xfId="0" fontId="3" numFmtId="0" fillId="0" borderId="20" applyFont="1" applyNumberFormat="0" applyFill="0" applyBorder="1" applyAlignment="1">
      <alignment horizontal="left" vertical="center" textRotation="0" wrapText="false" shrinkToFit="false"/>
    </xf>
    <xf xfId="0" fontId="3" numFmtId="0" fillId="0" borderId="12" applyFont="1" applyNumberFormat="0" applyFill="0" applyBorder="1" applyAlignment="1">
      <alignment horizontal="left" vertical="center" textRotation="0" wrapText="false" shrinkToFit="false"/>
    </xf>
    <xf xfId="0" fontId="12" numFmtId="0" fillId="0" borderId="19" applyFont="1" applyNumberFormat="0" applyFill="0" applyBorder="1" applyAlignment="1">
      <alignment horizontal="left" vertical="center" textRotation="0" wrapText="false" shrinkToFit="false"/>
    </xf>
    <xf xfId="0" fontId="12" numFmtId="0" fillId="0" borderId="2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ca24e01194e2ea18f494dbfed511e59.png"/><Relationship Id="rId2" Type="http://schemas.openxmlformats.org/officeDocument/2006/relationships/image" Target="../media/a2580f8e2da87535ff70e0b1a93381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0</xdr:row>
      <xdr:rowOff>114300</xdr:rowOff>
    </xdr:from>
    <xdr:ext cx="781050" cy="790575"/>
    <xdr:pic>
      <xdr:nvPicPr>
        <xdr:cNvPr id="1" name="image1.png" descr="deped_ne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27</xdr:col>
      <xdr:colOff>57150</xdr:colOff>
      <xdr:row>1</xdr:row>
      <xdr:rowOff>57150</xdr:rowOff>
    </xdr:from>
    <xdr:ext cx="752475" cy="4857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548135"/>
    <outlinePr summaryBelow="1" summaryRight="1"/>
  </sheetPr>
  <dimension ref="A1:CG1252"/>
  <sheetViews>
    <sheetView tabSelected="1" workbookViewId="0" showGridLines="true" showRowColHeaders="1">
      <selection activeCell="Z332" sqref="Z332"/>
    </sheetView>
  </sheetViews>
  <sheetFormatPr customHeight="true" defaultRowHeight="15" defaultColWidth="12.58203125" outlineLevelRow="0" outlineLevelCol="0"/>
  <cols>
    <col min="1" max="1" width="2.58203125" customWidth="true" style="0"/>
    <col min="2" max="2" width="2.25" customWidth="true" style="0"/>
    <col min="3" max="3" width="2.25" customWidth="true" style="0"/>
    <col min="4" max="4" width="2.25" customWidth="true" style="0"/>
    <col min="5" max="5" width="2.25" customWidth="true" style="0"/>
    <col min="6" max="6" width="2.25" customWidth="true" style="0"/>
    <col min="7" max="7" width="2.25" customWidth="true" style="0"/>
    <col min="8" max="8" width="3" customWidth="true" style="0"/>
    <col min="9" max="9" width="2.25" customWidth="true" style="0"/>
    <col min="10" max="10" width="2.25" customWidth="true" style="0"/>
    <col min="11" max="11" width="2.25" customWidth="true" style="0"/>
    <col min="12" max="12" width="2.25" customWidth="true" style="0"/>
    <col min="13" max="13" width="2.25" customWidth="true" style="0"/>
    <col min="14" max="14" width="2.25" customWidth="true" style="0"/>
    <col min="15" max="15" width="2.25" customWidth="true" style="0"/>
    <col min="16" max="16" width="2.25" customWidth="true" style="0"/>
    <col min="17" max="17" width="2.25" customWidth="true" style="0"/>
    <col min="18" max="18" width="2.25" customWidth="true" style="0"/>
    <col min="19" max="19" width="2.25" customWidth="true" style="0"/>
    <col min="20" max="20" width="2.25" customWidth="true" style="0"/>
    <col min="21" max="21" width="2.25" customWidth="true" style="0"/>
    <col min="22" max="22" width="2.25" customWidth="true" style="0"/>
    <col min="23" max="23" width="2.25" customWidth="true" style="0"/>
    <col min="24" max="24" width="2.25" customWidth="true" style="0"/>
    <col min="25" max="25" width="2.25" customWidth="true" style="0"/>
    <col min="26" max="26" width="2.25" customWidth="true" style="0"/>
    <col min="27" max="27" width="2.25" customWidth="true" style="0"/>
    <col min="28" max="28" width="2.25" customWidth="true" style="0"/>
    <col min="29" max="29" width="2.25" customWidth="true" style="0"/>
    <col min="30" max="30" width="2.58203125" customWidth="true" style="0"/>
    <col min="31" max="31" width="2.25" customWidth="true" style="0"/>
    <col min="32" max="32" width="2.25" customWidth="true" style="0"/>
    <col min="33" max="33" width="2.25" customWidth="true" style="0"/>
    <col min="34" max="34" width="2.25" customWidth="true" style="0"/>
    <col min="35" max="35" width="2.25" customWidth="true" style="0"/>
    <col min="36" max="36" width="2.25" customWidth="true" style="0"/>
    <col min="37" max="37" width="2.25" customWidth="true" style="0"/>
    <col min="38" max="38" width="2.25" customWidth="true" style="0"/>
    <col min="39" max="39" width="2.25" customWidth="true" style="0"/>
    <col min="40" max="40" width="5.5" customWidth="true" style="0"/>
    <col min="41" max="41" width="2.25" customWidth="true" style="0"/>
    <col min="42" max="42" width="2.25" customWidth="true" style="0"/>
    <col min="43" max="43" width="4.25" customWidth="true" style="0"/>
    <col min="44" max="44" width="4.25" customWidth="true" style="0"/>
    <col min="45" max="45" width="3.58203125" customWidth="true" style="0"/>
    <col min="46" max="46" width="3.58203125" customWidth="true" style="0"/>
    <col min="47" max="47" width="3.58203125" customWidth="true" style="0"/>
    <col min="48" max="48" width="3.58203125" customWidth="true" style="0"/>
    <col min="49" max="49" width="3.58203125" customWidth="true" style="0"/>
    <col min="50" max="50" width="3.58203125" customWidth="true" style="0"/>
    <col min="51" max="51" width="3.58203125" customWidth="true" style="0"/>
    <col min="52" max="52" width="3.58203125" customWidth="true" style="0"/>
    <col min="53" max="53" width="3.58203125" customWidth="true" style="0"/>
    <col min="54" max="54" width="3.58203125" customWidth="true" style="0"/>
    <col min="55" max="55" width="3.58203125" customWidth="true" style="0"/>
    <col min="56" max="56" width="3.58203125" customWidth="true" style="0"/>
    <col min="57" max="57" width="3.58203125" customWidth="true" style="0"/>
    <col min="58" max="58" width="3.58203125" customWidth="true" style="0"/>
    <col min="59" max="59" width="3.58203125" customWidth="true" style="0"/>
    <col min="60" max="60" width="3.58203125" customWidth="true" style="0"/>
    <col min="61" max="61" width="3.58203125" customWidth="true" style="0"/>
    <col min="62" max="62" width="3.58203125" customWidth="true" style="0"/>
    <col min="63" max="63" width="3.58203125" customWidth="true" style="0"/>
    <col min="64" max="64" width="3.58203125" customWidth="true" style="0"/>
    <col min="65" max="65" width="3.58203125" customWidth="true" style="0"/>
    <col min="66" max="66" width="3.58203125" customWidth="true" style="0"/>
    <col min="67" max="67" width="3.58203125" customWidth="true" style="0"/>
    <col min="68" max="68" width="3.58203125" customWidth="true" style="0"/>
    <col min="69" max="69" width="3.58203125" customWidth="true" style="0"/>
    <col min="70" max="70" width="3.58203125" customWidth="true" style="0"/>
    <col min="71" max="71" width="3.58203125" customWidth="true" style="0"/>
    <col min="72" max="72" width="3.58203125" customWidth="true" style="0"/>
    <col min="73" max="73" width="3.58203125" customWidth="true" style="0"/>
    <col min="74" max="74" width="3.58203125" customWidth="true" style="0"/>
    <col min="75" max="75" width="3.58203125" customWidth="true" style="0"/>
    <col min="76" max="76" width="3.58203125" customWidth="true" style="0"/>
    <col min="77" max="77" width="3.58203125" customWidth="true" style="0"/>
    <col min="78" max="78" width="3.58203125" customWidth="true" style="0"/>
    <col min="79" max="79" width="3.58203125" customWidth="true" style="0"/>
    <col min="80" max="80" width="3" customWidth="true" style="0"/>
    <col min="81" max="81" width="3" customWidth="true" style="0"/>
    <col min="82" max="82" width="3" customWidth="true" style="0"/>
    <col min="83" max="83" width="3" customWidth="true" style="0"/>
    <col min="84" max="84" width="3" customWidth="true" style="0"/>
    <col min="85" max="85" width="3" customWidth="true" style="0"/>
  </cols>
  <sheetData>
    <row r="1" spans="1:85" customHeight="1" ht="15.75">
      <c r="A1" s="101"/>
      <c r="B1" s="102"/>
      <c r="C1" s="102"/>
      <c r="D1" s="102"/>
      <c r="E1" s="102"/>
      <c r="F1" s="102"/>
      <c r="G1" s="102"/>
      <c r="H1" s="102"/>
      <c r="I1" s="103"/>
      <c r="J1" s="107" t="s">
        <v>0</v>
      </c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3"/>
      <c r="AB1" s="101"/>
      <c r="AC1" s="102"/>
      <c r="AD1" s="102"/>
      <c r="AE1" s="102"/>
      <c r="AF1" s="103"/>
      <c r="AG1" s="1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3"/>
      <c r="AR1" s="4"/>
      <c r="AS1" s="4"/>
    </row>
    <row r="2" spans="1:85" customHeight="1" ht="15.75">
      <c r="A2" s="104"/>
      <c r="B2" s="105"/>
      <c r="C2" s="105"/>
      <c r="D2" s="105"/>
      <c r="E2" s="105"/>
      <c r="F2" s="105"/>
      <c r="G2" s="105"/>
      <c r="H2" s="105"/>
      <c r="I2" s="106"/>
      <c r="J2" s="108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10"/>
      <c r="AB2" s="104"/>
      <c r="AC2" s="105"/>
      <c r="AD2" s="105"/>
      <c r="AE2" s="105"/>
      <c r="AF2" s="106"/>
      <c r="AG2" s="4"/>
      <c r="AH2" s="4"/>
      <c r="AI2" s="4"/>
      <c r="AJ2" s="4"/>
      <c r="AK2" s="4"/>
      <c r="AL2" s="4"/>
      <c r="AM2" s="4"/>
      <c r="AN2" s="4"/>
      <c r="AO2" s="4"/>
      <c r="AP2" s="4"/>
      <c r="AQ2" s="5"/>
      <c r="AR2" s="4"/>
      <c r="AS2" s="4"/>
    </row>
    <row r="3" spans="1:85" customHeight="1" ht="11.25">
      <c r="A3" s="104"/>
      <c r="B3" s="105"/>
      <c r="C3" s="105"/>
      <c r="D3" s="105"/>
      <c r="E3" s="105"/>
      <c r="F3" s="105"/>
      <c r="G3" s="105"/>
      <c r="H3" s="105"/>
      <c r="I3" s="106"/>
      <c r="J3" s="111" t="s">
        <v>2</v>
      </c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3"/>
      <c r="AB3" s="104"/>
      <c r="AC3" s="105"/>
      <c r="AD3" s="105"/>
      <c r="AE3" s="105"/>
      <c r="AF3" s="106"/>
      <c r="AG3" s="6" t="s">
        <v>3</v>
      </c>
      <c r="AH3" s="4"/>
      <c r="AI3" s="4"/>
      <c r="AJ3" s="4"/>
      <c r="AK3" s="4"/>
      <c r="AL3" s="4"/>
      <c r="AM3" s="4"/>
      <c r="AN3" s="4"/>
      <c r="AO3" s="4"/>
      <c r="AP3" s="4"/>
      <c r="AQ3" s="5"/>
      <c r="AR3" s="4"/>
      <c r="AS3" s="4"/>
    </row>
    <row r="4" spans="1:85" customHeight="1" ht="10.5">
      <c r="A4" s="104"/>
      <c r="B4" s="105"/>
      <c r="C4" s="105"/>
      <c r="D4" s="105"/>
      <c r="E4" s="105"/>
      <c r="F4" s="105"/>
      <c r="G4" s="105"/>
      <c r="H4" s="105"/>
      <c r="I4" s="106"/>
      <c r="J4" s="104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6"/>
      <c r="AB4" s="104"/>
      <c r="AC4" s="105"/>
      <c r="AD4" s="105"/>
      <c r="AE4" s="105"/>
      <c r="AF4" s="106"/>
      <c r="AG4" s="7"/>
      <c r="AH4" s="4"/>
      <c r="AI4" s="4"/>
      <c r="AJ4" s="4"/>
      <c r="AK4" s="4"/>
      <c r="AL4" s="4"/>
      <c r="AM4" s="4"/>
      <c r="AN4" s="4"/>
      <c r="AO4" s="4"/>
      <c r="AP4" s="4"/>
      <c r="AQ4" s="5"/>
      <c r="AR4" s="4"/>
      <c r="AS4" s="4"/>
    </row>
    <row r="5" spans="1:85" customHeight="1" ht="15.75">
      <c r="A5" s="104"/>
      <c r="B5" s="105"/>
      <c r="C5" s="105"/>
      <c r="D5" s="105"/>
      <c r="E5" s="105"/>
      <c r="F5" s="105"/>
      <c r="G5" s="105"/>
      <c r="H5" s="105"/>
      <c r="I5" s="106"/>
      <c r="J5" s="112" t="s">
        <v>4</v>
      </c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6"/>
      <c r="AB5" s="104"/>
      <c r="AC5" s="105"/>
      <c r="AD5" s="105"/>
      <c r="AE5" s="105"/>
      <c r="AF5" s="106"/>
      <c r="AG5" s="8" t="s">
        <v>5</v>
      </c>
      <c r="AH5" s="9"/>
      <c r="AI5" s="9"/>
      <c r="AJ5" s="9"/>
      <c r="AK5" s="9"/>
      <c r="AL5" s="9"/>
      <c r="AM5" s="9"/>
      <c r="AN5" s="9"/>
      <c r="AO5" s="9"/>
      <c r="AP5" s="9"/>
      <c r="AQ5" s="10"/>
      <c r="AR5" s="4"/>
      <c r="AS5" s="4"/>
    </row>
    <row r="6" spans="1:85" customHeight="1" ht="15.75">
      <c r="A6" s="104"/>
      <c r="B6" s="97"/>
      <c r="C6" s="97"/>
      <c r="D6" s="97"/>
      <c r="E6" s="97"/>
      <c r="F6" s="97"/>
      <c r="G6" s="97"/>
      <c r="H6" s="97"/>
      <c r="I6" s="106"/>
      <c r="J6" s="113" t="s">
        <v>6</v>
      </c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106"/>
      <c r="AB6" s="104"/>
      <c r="AC6" s="97"/>
      <c r="AD6" s="97"/>
      <c r="AE6" s="97"/>
      <c r="AF6" s="106"/>
      <c r="AG6" s="53" t="s">
        <v>7</v>
      </c>
      <c r="AH6" s="2"/>
      <c r="AI6" s="2"/>
      <c r="AJ6" s="2"/>
      <c r="AK6" s="2"/>
      <c r="AL6" s="2"/>
      <c r="AM6" s="2"/>
      <c r="AN6" s="2"/>
      <c r="AO6" s="2"/>
      <c r="AP6" s="2"/>
      <c r="AQ6" s="3"/>
      <c r="AR6" s="4"/>
      <c r="AS6" s="4"/>
    </row>
    <row r="7" spans="1:85" customHeight="1" ht="12">
      <c r="A7" s="52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8"/>
      <c r="AR7" s="41"/>
      <c r="AS7" s="4"/>
    </row>
    <row r="8" spans="1:85" customHeight="1" ht="13.5">
      <c r="A8" s="90" t="s">
        <v>8</v>
      </c>
      <c r="B8" s="91"/>
      <c r="C8" s="91"/>
      <c r="D8" s="91"/>
      <c r="E8" s="91"/>
      <c r="F8" s="91"/>
      <c r="G8" s="91"/>
      <c r="H8" s="91"/>
      <c r="I8" s="91"/>
      <c r="J8" s="91"/>
      <c r="K8" s="92" t="s">
        <v>9</v>
      </c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48" t="s">
        <v>10</v>
      </c>
      <c r="X8" s="49"/>
      <c r="Y8" s="49"/>
      <c r="Z8" s="49"/>
      <c r="AA8" s="49"/>
      <c r="AB8" s="49"/>
      <c r="AC8" s="92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3"/>
      <c r="AR8" s="50"/>
      <c r="AS8" s="11"/>
    </row>
    <row r="9" spans="1:85" customHeight="1" ht="13.5">
      <c r="A9" s="90" t="s">
        <v>11</v>
      </c>
      <c r="B9" s="91"/>
      <c r="C9" s="91"/>
      <c r="D9" s="91"/>
      <c r="E9" s="91"/>
      <c r="F9" s="91"/>
      <c r="G9" s="91"/>
      <c r="H9" s="91"/>
      <c r="I9" s="91"/>
      <c r="J9" s="91"/>
      <c r="K9" s="94" t="s">
        <v>12</v>
      </c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6"/>
      <c r="AR9" s="50"/>
      <c r="AS9" s="11"/>
    </row>
    <row r="10" spans="1:85" customHeight="1" ht="13.5">
      <c r="A10" s="209" t="s">
        <v>13</v>
      </c>
      <c r="B10" s="94"/>
      <c r="C10" s="94"/>
      <c r="D10" s="94"/>
      <c r="E10" s="94"/>
      <c r="F10" s="94"/>
      <c r="G10" s="94"/>
      <c r="H10" s="94"/>
      <c r="I10" s="94"/>
      <c r="J10" s="94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5"/>
      <c r="W10" s="99" t="s">
        <v>14</v>
      </c>
      <c r="X10" s="97"/>
      <c r="Y10" s="97"/>
      <c r="Z10" s="97"/>
      <c r="AA10" s="97"/>
      <c r="AB10" s="97"/>
      <c r="AC10" s="98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7"/>
      <c r="AQ10" s="100"/>
      <c r="AR10" s="50"/>
      <c r="AS10" s="11"/>
    </row>
    <row r="11" spans="1:85" customHeight="1" ht="13.5">
      <c r="A11" s="209" t="s">
        <v>15</v>
      </c>
      <c r="B11" s="94"/>
      <c r="C11" s="94"/>
      <c r="D11" s="94"/>
      <c r="E11" s="94"/>
      <c r="F11" s="94"/>
      <c r="G11" s="94"/>
      <c r="H11" s="94"/>
      <c r="I11" s="94"/>
      <c r="J11" s="94"/>
      <c r="K11" s="211" t="s">
        <v>16</v>
      </c>
      <c r="L11" s="211"/>
      <c r="M11" s="211"/>
      <c r="N11" s="211"/>
      <c r="O11" s="211"/>
      <c r="P11" s="211"/>
      <c r="Q11" s="211"/>
      <c r="R11" s="211"/>
      <c r="S11" s="211"/>
      <c r="T11" s="211"/>
      <c r="U11" s="211"/>
      <c r="V11" s="212"/>
      <c r="W11" s="121" t="s">
        <v>17</v>
      </c>
      <c r="X11" s="91"/>
      <c r="Y11" s="91"/>
      <c r="Z11" s="91"/>
      <c r="AA11" s="91"/>
      <c r="AB11" s="94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6"/>
      <c r="AR11" s="50"/>
      <c r="AS11" s="11"/>
    </row>
    <row r="12" spans="1:85" customHeight="1" ht="13.5">
      <c r="A12" s="122" t="s">
        <v>18</v>
      </c>
      <c r="B12" s="123"/>
      <c r="C12" s="123"/>
      <c r="D12" s="123"/>
      <c r="E12" s="123"/>
      <c r="F12" s="211">
        <v>126593</v>
      </c>
      <c r="G12" s="211"/>
      <c r="H12" s="211"/>
      <c r="I12" s="211"/>
      <c r="J12" s="211"/>
      <c r="K12" s="211"/>
      <c r="L12" s="211"/>
      <c r="M12" s="211"/>
      <c r="N12" s="211"/>
      <c r="O12" s="211"/>
      <c r="P12" s="211"/>
      <c r="Q12" s="211"/>
      <c r="R12" s="211"/>
      <c r="S12" s="211"/>
      <c r="T12" s="211"/>
      <c r="U12" s="211"/>
      <c r="V12" s="212"/>
      <c r="W12" s="209" t="s">
        <v>19</v>
      </c>
      <c r="X12" s="94"/>
      <c r="Y12" s="94"/>
      <c r="Z12" s="94"/>
      <c r="AA12" s="94"/>
      <c r="AB12" s="210"/>
      <c r="AC12" s="210"/>
      <c r="AD12" s="124">
        <v>2952</v>
      </c>
      <c r="AE12" s="124"/>
      <c r="AF12" s="124"/>
      <c r="AG12" s="124"/>
      <c r="AH12" s="124"/>
      <c r="AI12" s="124"/>
      <c r="AJ12" s="124"/>
      <c r="AK12" s="124"/>
      <c r="AL12" s="124"/>
      <c r="AM12" s="124"/>
      <c r="AN12" s="124"/>
      <c r="AO12" s="124"/>
      <c r="AP12" s="124"/>
      <c r="AQ12" s="125"/>
      <c r="AR12" s="51"/>
      <c r="AS12" s="12"/>
    </row>
    <row r="13" spans="1:85" customHeight="1" ht="13.5">
      <c r="A13" s="47" t="s">
        <v>20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"/>
      <c r="AS13" s="4"/>
    </row>
    <row r="14" spans="1:85" customHeight="1" ht="9.7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85" customHeight="1" ht="13.5">
      <c r="A15" s="4"/>
      <c r="B15" s="137" t="s">
        <v>21</v>
      </c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4"/>
      <c r="AS15" s="4"/>
    </row>
    <row r="16" spans="1:85" customHeight="1" ht="13.5">
      <c r="A16" s="4"/>
      <c r="B16" s="114" t="s">
        <v>22</v>
      </c>
      <c r="C16" s="91"/>
      <c r="D16" s="91"/>
      <c r="E16" s="93"/>
      <c r="F16" s="114" t="s">
        <v>23</v>
      </c>
      <c r="G16" s="91"/>
      <c r="H16" s="91"/>
      <c r="I16" s="93"/>
      <c r="J16" s="114" t="s">
        <v>24</v>
      </c>
      <c r="K16" s="91"/>
      <c r="L16" s="91"/>
      <c r="M16" s="91"/>
      <c r="N16" s="118" t="s">
        <v>25</v>
      </c>
      <c r="O16" s="119"/>
      <c r="P16" s="119"/>
      <c r="Q16" s="119"/>
      <c r="R16" s="118" t="s">
        <v>26</v>
      </c>
      <c r="S16" s="119"/>
      <c r="T16" s="119"/>
      <c r="U16" s="119"/>
      <c r="V16" s="118" t="s">
        <v>27</v>
      </c>
      <c r="W16" s="119"/>
      <c r="X16" s="119"/>
      <c r="Y16" s="119"/>
      <c r="Z16" s="120" t="s">
        <v>28</v>
      </c>
      <c r="AA16" s="119"/>
      <c r="AB16" s="119"/>
      <c r="AC16" s="119"/>
      <c r="AD16" s="118" t="s">
        <v>29</v>
      </c>
      <c r="AE16" s="119"/>
      <c r="AF16" s="119"/>
      <c r="AG16" s="119"/>
      <c r="AH16" s="118" t="s">
        <v>30</v>
      </c>
      <c r="AI16" s="119"/>
      <c r="AJ16" s="119"/>
      <c r="AK16" s="119"/>
      <c r="AL16" s="120" t="s">
        <v>31</v>
      </c>
      <c r="AM16" s="119"/>
      <c r="AN16" s="119"/>
      <c r="AO16" s="118" t="s">
        <v>32</v>
      </c>
      <c r="AP16" s="119"/>
      <c r="AQ16" s="119"/>
      <c r="AR16" s="55"/>
      <c r="AS16" s="14"/>
    </row>
    <row r="17" spans="1:85" customHeight="1" ht="18">
      <c r="A17" s="4"/>
      <c r="B17" s="115"/>
      <c r="C17" s="116"/>
      <c r="D17" s="116"/>
      <c r="E17" s="117"/>
      <c r="F17" s="115"/>
      <c r="G17" s="116"/>
      <c r="H17" s="116"/>
      <c r="I17" s="117"/>
      <c r="J17" s="115"/>
      <c r="K17" s="116"/>
      <c r="L17" s="116"/>
      <c r="M17" s="116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  <c r="AK17" s="119"/>
      <c r="AL17" s="119"/>
      <c r="AM17" s="119"/>
      <c r="AN17" s="119"/>
      <c r="AO17" s="119"/>
      <c r="AP17" s="119"/>
      <c r="AQ17" s="119"/>
      <c r="AR17" s="55"/>
      <c r="AS17" s="14"/>
    </row>
    <row r="18" spans="1:85" customHeight="1" ht="13.5">
      <c r="A18" s="4"/>
      <c r="B18" s="126" t="s">
        <v>33</v>
      </c>
      <c r="C18" s="105"/>
      <c r="D18" s="105"/>
      <c r="E18" s="100"/>
      <c r="F18" s="128" t="s">
        <v>34</v>
      </c>
      <c r="G18" s="95"/>
      <c r="H18" s="95"/>
      <c r="I18" s="96"/>
      <c r="J18" s="129">
        <v>24</v>
      </c>
      <c r="K18" s="91"/>
      <c r="L18" s="91"/>
      <c r="M18" s="91"/>
      <c r="N18" s="130">
        <v>23</v>
      </c>
      <c r="O18" s="119"/>
      <c r="P18" s="119"/>
      <c r="Q18" s="119"/>
      <c r="R18" s="130">
        <v>21</v>
      </c>
      <c r="S18" s="119"/>
      <c r="T18" s="119"/>
      <c r="U18" s="119"/>
      <c r="V18" s="130">
        <v>26</v>
      </c>
      <c r="W18" s="119"/>
      <c r="X18" s="119"/>
      <c r="Y18" s="119"/>
      <c r="Z18" s="130">
        <v>0</v>
      </c>
      <c r="AA18" s="119"/>
      <c r="AB18" s="119"/>
      <c r="AC18" s="119"/>
      <c r="AD18" s="130">
        <v>0</v>
      </c>
      <c r="AE18" s="119"/>
      <c r="AF18" s="119"/>
      <c r="AG18" s="119"/>
      <c r="AH18" s="130">
        <v>0</v>
      </c>
      <c r="AI18" s="119"/>
      <c r="AJ18" s="119"/>
      <c r="AK18" s="119"/>
      <c r="AL18" s="130">
        <v>0</v>
      </c>
      <c r="AM18" s="119"/>
      <c r="AN18" s="119"/>
      <c r="AO18" s="130">
        <f>SUM(J18:AK18)</f>
        <v>94</v>
      </c>
      <c r="AP18" s="119"/>
      <c r="AQ18" s="119"/>
      <c r="AR18" s="40"/>
      <c r="AS18" s="15"/>
    </row>
    <row r="19" spans="1:85" customHeight="1" ht="13.5">
      <c r="A19" s="4"/>
      <c r="B19" s="127"/>
      <c r="C19" s="105"/>
      <c r="D19" s="105"/>
      <c r="E19" s="100"/>
      <c r="F19" s="131" t="s">
        <v>35</v>
      </c>
      <c r="G19" s="116"/>
      <c r="H19" s="116"/>
      <c r="I19" s="117"/>
      <c r="J19" s="129">
        <v>27</v>
      </c>
      <c r="K19" s="91"/>
      <c r="L19" s="91"/>
      <c r="M19" s="91"/>
      <c r="N19" s="130">
        <v>18</v>
      </c>
      <c r="O19" s="119"/>
      <c r="P19" s="119"/>
      <c r="Q19" s="119"/>
      <c r="R19" s="130">
        <v>16</v>
      </c>
      <c r="S19" s="119"/>
      <c r="T19" s="119"/>
      <c r="U19" s="119"/>
      <c r="V19" s="130">
        <v>21</v>
      </c>
      <c r="W19" s="119"/>
      <c r="X19" s="119"/>
      <c r="Y19" s="119"/>
      <c r="Z19" s="130">
        <v>0</v>
      </c>
      <c r="AA19" s="119"/>
      <c r="AB19" s="119"/>
      <c r="AC19" s="119"/>
      <c r="AD19" s="130">
        <v>0</v>
      </c>
      <c r="AE19" s="119"/>
      <c r="AF19" s="119"/>
      <c r="AG19" s="119"/>
      <c r="AH19" s="130">
        <v>0</v>
      </c>
      <c r="AI19" s="119"/>
      <c r="AJ19" s="119"/>
      <c r="AK19" s="119"/>
      <c r="AL19" s="130">
        <v>0</v>
      </c>
      <c r="AM19" s="119"/>
      <c r="AN19" s="119"/>
      <c r="AO19" s="130">
        <f>SUM(J19:AK19)</f>
        <v>82</v>
      </c>
      <c r="AP19" s="119"/>
      <c r="AQ19" s="119"/>
      <c r="AR19" s="40"/>
      <c r="AS19" s="15"/>
    </row>
    <row r="20" spans="1:85" customHeight="1" ht="13.5">
      <c r="A20" s="4"/>
      <c r="B20" s="115"/>
      <c r="C20" s="116"/>
      <c r="D20" s="116"/>
      <c r="E20" s="117"/>
      <c r="F20" s="131" t="s">
        <v>36</v>
      </c>
      <c r="G20" s="116"/>
      <c r="H20" s="116"/>
      <c r="I20" s="117"/>
      <c r="J20" s="129">
        <f>SUM(J18:M19)</f>
        <v>51</v>
      </c>
      <c r="K20" s="91"/>
      <c r="L20" s="91"/>
      <c r="M20" s="91"/>
      <c r="N20" s="130">
        <f>SUM(N18:Q19)</f>
        <v>41</v>
      </c>
      <c r="O20" s="119"/>
      <c r="P20" s="119"/>
      <c r="Q20" s="119"/>
      <c r="R20" s="130">
        <f>SUM(R18:U19)</f>
        <v>37</v>
      </c>
      <c r="S20" s="119"/>
      <c r="T20" s="119"/>
      <c r="U20" s="119"/>
      <c r="V20" s="130">
        <f>SUM(V18:Y19)</f>
        <v>47</v>
      </c>
      <c r="W20" s="119"/>
      <c r="X20" s="119"/>
      <c r="Y20" s="119"/>
      <c r="Z20" s="130">
        <f>SUM(Z18:AC19)</f>
        <v>0</v>
      </c>
      <c r="AA20" s="119"/>
      <c r="AB20" s="119"/>
      <c r="AC20" s="119"/>
      <c r="AD20" s="130">
        <f>SUM(AD18:AG19)</f>
        <v>0</v>
      </c>
      <c r="AE20" s="119"/>
      <c r="AF20" s="119"/>
      <c r="AG20" s="119"/>
      <c r="AH20" s="130">
        <f>SUM(AH18:AK19)</f>
        <v>0</v>
      </c>
      <c r="AI20" s="119"/>
      <c r="AJ20" s="119"/>
      <c r="AK20" s="119"/>
      <c r="AL20" s="130">
        <f>SUM(AL18:AN19)</f>
        <v>0</v>
      </c>
      <c r="AM20" s="119"/>
      <c r="AN20" s="119"/>
      <c r="AO20" s="130">
        <f>SUM(AO18:AR19)</f>
        <v>176</v>
      </c>
      <c r="AP20" s="119"/>
      <c r="AQ20" s="119"/>
      <c r="AR20" s="40"/>
      <c r="AS20" s="15"/>
    </row>
    <row r="21" spans="1:85" customHeight="1" ht="13.5">
      <c r="A21" s="4"/>
      <c r="B21" s="126" t="s">
        <v>37</v>
      </c>
      <c r="C21" s="105"/>
      <c r="D21" s="105"/>
      <c r="E21" s="100"/>
      <c r="F21" s="128" t="s">
        <v>34</v>
      </c>
      <c r="G21" s="95"/>
      <c r="H21" s="95"/>
      <c r="I21" s="95"/>
      <c r="J21" s="133">
        <v>2</v>
      </c>
      <c r="K21" s="133"/>
      <c r="L21" s="133"/>
      <c r="M21" s="133"/>
      <c r="N21" s="132">
        <v>21</v>
      </c>
      <c r="O21" s="119"/>
      <c r="P21" s="119"/>
      <c r="Q21" s="119"/>
      <c r="R21" s="130">
        <v>11</v>
      </c>
      <c r="S21" s="119"/>
      <c r="T21" s="119"/>
      <c r="U21" s="119"/>
      <c r="V21" s="130">
        <v>37</v>
      </c>
      <c r="W21" s="119"/>
      <c r="X21" s="119"/>
      <c r="Y21" s="119"/>
      <c r="Z21" s="130">
        <v>4</v>
      </c>
      <c r="AA21" s="119"/>
      <c r="AB21" s="119"/>
      <c r="AC21" s="119"/>
      <c r="AD21" s="130">
        <v>12</v>
      </c>
      <c r="AE21" s="119"/>
      <c r="AF21" s="119"/>
      <c r="AG21" s="119"/>
      <c r="AH21" s="130">
        <v>5</v>
      </c>
      <c r="AI21" s="119"/>
      <c r="AJ21" s="119"/>
      <c r="AK21" s="119"/>
      <c r="AL21" s="130">
        <v>0</v>
      </c>
      <c r="AM21" s="119"/>
      <c r="AN21" s="119"/>
      <c r="AO21" s="130">
        <f>SUM(J21:AK21)</f>
        <v>92</v>
      </c>
      <c r="AP21" s="119"/>
      <c r="AQ21" s="119"/>
      <c r="AR21" s="40"/>
      <c r="AS21" s="15"/>
    </row>
    <row r="22" spans="1:85" customHeight="1" ht="13.5">
      <c r="A22" s="4"/>
      <c r="B22" s="127"/>
      <c r="C22" s="105"/>
      <c r="D22" s="105"/>
      <c r="E22" s="100"/>
      <c r="F22" s="131" t="s">
        <v>35</v>
      </c>
      <c r="G22" s="116"/>
      <c r="H22" s="116"/>
      <c r="I22" s="116"/>
      <c r="J22" s="133">
        <v>3</v>
      </c>
      <c r="K22" s="133"/>
      <c r="L22" s="133"/>
      <c r="M22" s="133"/>
      <c r="N22" s="132">
        <v>15</v>
      </c>
      <c r="O22" s="119"/>
      <c r="P22" s="119"/>
      <c r="Q22" s="119"/>
      <c r="R22" s="130">
        <v>15</v>
      </c>
      <c r="S22" s="119"/>
      <c r="T22" s="119"/>
      <c r="U22" s="119"/>
      <c r="V22" s="130">
        <v>31</v>
      </c>
      <c r="W22" s="119"/>
      <c r="X22" s="119"/>
      <c r="Y22" s="119"/>
      <c r="Z22" s="130">
        <v>5</v>
      </c>
      <c r="AA22" s="119"/>
      <c r="AB22" s="119"/>
      <c r="AC22" s="119"/>
      <c r="AD22" s="130">
        <v>15</v>
      </c>
      <c r="AE22" s="119"/>
      <c r="AF22" s="119"/>
      <c r="AG22" s="119"/>
      <c r="AH22" s="130">
        <v>8</v>
      </c>
      <c r="AI22" s="119"/>
      <c r="AJ22" s="119"/>
      <c r="AK22" s="119"/>
      <c r="AL22" s="130">
        <v>0</v>
      </c>
      <c r="AM22" s="119"/>
      <c r="AN22" s="119"/>
      <c r="AO22" s="130">
        <f>SUM(J22:AK22)</f>
        <v>92</v>
      </c>
      <c r="AP22" s="119"/>
      <c r="AQ22" s="119"/>
      <c r="AR22" s="40"/>
      <c r="AS22" s="15"/>
    </row>
    <row r="23" spans="1:85" customHeight="1" ht="13.5">
      <c r="A23" s="4"/>
      <c r="B23" s="115"/>
      <c r="C23" s="116"/>
      <c r="D23" s="116"/>
      <c r="E23" s="117"/>
      <c r="F23" s="131" t="s">
        <v>36</v>
      </c>
      <c r="G23" s="116"/>
      <c r="H23" s="116"/>
      <c r="I23" s="116"/>
      <c r="J23" s="133">
        <f>SUM(J22,J21)</f>
        <v>5</v>
      </c>
      <c r="K23" s="133"/>
      <c r="L23" s="133"/>
      <c r="M23" s="133"/>
      <c r="N23" s="132">
        <f>SUM(N21:Q22)</f>
        <v>36</v>
      </c>
      <c r="O23" s="119"/>
      <c r="P23" s="119"/>
      <c r="Q23" s="119"/>
      <c r="R23" s="130">
        <f>SUM(R21:U22)</f>
        <v>26</v>
      </c>
      <c r="S23" s="119"/>
      <c r="T23" s="119"/>
      <c r="U23" s="119"/>
      <c r="V23" s="130">
        <f>SUM(V21:Y22)</f>
        <v>68</v>
      </c>
      <c r="W23" s="119"/>
      <c r="X23" s="119"/>
      <c r="Y23" s="119"/>
      <c r="Z23" s="130">
        <f>SUM(Z21:AC22)</f>
        <v>9</v>
      </c>
      <c r="AA23" s="119"/>
      <c r="AB23" s="119"/>
      <c r="AC23" s="119"/>
      <c r="AD23" s="130">
        <f>SUM(AD21:AG22)</f>
        <v>27</v>
      </c>
      <c r="AE23" s="119"/>
      <c r="AF23" s="119"/>
      <c r="AG23" s="119"/>
      <c r="AH23" s="130">
        <f>SUM(AH21:AK22)</f>
        <v>13</v>
      </c>
      <c r="AI23" s="119"/>
      <c r="AJ23" s="119"/>
      <c r="AK23" s="119"/>
      <c r="AL23" s="130">
        <f>SUM(AL21:AN22)</f>
        <v>0</v>
      </c>
      <c r="AM23" s="119"/>
      <c r="AN23" s="119"/>
      <c r="AO23" s="130">
        <f>SUM(AO21:AR22)</f>
        <v>184</v>
      </c>
      <c r="AP23" s="119"/>
      <c r="AQ23" s="119"/>
      <c r="AR23" s="40"/>
      <c r="AS23" s="15"/>
    </row>
    <row r="24" spans="1:85" customHeight="1" ht="13.5">
      <c r="A24" s="4"/>
      <c r="B24" s="126" t="s">
        <v>38</v>
      </c>
      <c r="C24" s="105"/>
      <c r="D24" s="105"/>
      <c r="E24" s="100"/>
      <c r="F24" s="128" t="s">
        <v>34</v>
      </c>
      <c r="G24" s="95"/>
      <c r="H24" s="95"/>
      <c r="I24" s="96"/>
      <c r="J24" s="34"/>
      <c r="K24" s="35"/>
      <c r="L24" s="35"/>
      <c r="M24" s="54"/>
      <c r="N24" s="130">
        <v>20</v>
      </c>
      <c r="O24" s="119"/>
      <c r="P24" s="119"/>
      <c r="Q24" s="119"/>
      <c r="R24" s="130">
        <v>15</v>
      </c>
      <c r="S24" s="119"/>
      <c r="T24" s="119"/>
      <c r="U24" s="119"/>
      <c r="V24" s="130">
        <v>0</v>
      </c>
      <c r="W24" s="119"/>
      <c r="X24" s="119"/>
      <c r="Y24" s="119"/>
      <c r="Z24" s="130">
        <v>0</v>
      </c>
      <c r="AA24" s="119"/>
      <c r="AB24" s="119"/>
      <c r="AC24" s="119"/>
      <c r="AD24" s="130">
        <v>0</v>
      </c>
      <c r="AE24" s="119"/>
      <c r="AF24" s="119"/>
      <c r="AG24" s="119"/>
      <c r="AH24" s="130">
        <v>0</v>
      </c>
      <c r="AI24" s="119"/>
      <c r="AJ24" s="119"/>
      <c r="AK24" s="119"/>
      <c r="AL24" s="130">
        <v>0</v>
      </c>
      <c r="AM24" s="119"/>
      <c r="AN24" s="119"/>
      <c r="AO24" s="130">
        <f>SUM(J24:AK24)</f>
        <v>35</v>
      </c>
      <c r="AP24" s="119"/>
      <c r="AQ24" s="119"/>
      <c r="AR24" s="40"/>
      <c r="AS24" s="15"/>
    </row>
    <row r="25" spans="1:85" customHeight="1" ht="13.5">
      <c r="A25" s="4"/>
      <c r="B25" s="127"/>
      <c r="C25" s="105"/>
      <c r="D25" s="105"/>
      <c r="E25" s="100"/>
      <c r="F25" s="131" t="s">
        <v>35</v>
      </c>
      <c r="G25" s="116"/>
      <c r="H25" s="116"/>
      <c r="I25" s="117"/>
      <c r="J25" s="34"/>
      <c r="K25" s="35"/>
      <c r="L25" s="35"/>
      <c r="M25" s="54"/>
      <c r="N25" s="130">
        <v>29</v>
      </c>
      <c r="O25" s="119"/>
      <c r="P25" s="119"/>
      <c r="Q25" s="119"/>
      <c r="R25" s="130">
        <v>22</v>
      </c>
      <c r="S25" s="119"/>
      <c r="T25" s="119"/>
      <c r="U25" s="119"/>
      <c r="V25" s="130">
        <v>0</v>
      </c>
      <c r="W25" s="119"/>
      <c r="X25" s="119"/>
      <c r="Y25" s="119"/>
      <c r="Z25" s="130">
        <v>0</v>
      </c>
      <c r="AA25" s="119"/>
      <c r="AB25" s="119"/>
      <c r="AC25" s="119"/>
      <c r="AD25" s="130">
        <v>0</v>
      </c>
      <c r="AE25" s="119"/>
      <c r="AF25" s="119"/>
      <c r="AG25" s="119"/>
      <c r="AH25" s="130">
        <v>0</v>
      </c>
      <c r="AI25" s="119"/>
      <c r="AJ25" s="119"/>
      <c r="AK25" s="119"/>
      <c r="AL25" s="130">
        <v>0</v>
      </c>
      <c r="AM25" s="119"/>
      <c r="AN25" s="119"/>
      <c r="AO25" s="130">
        <f>SUM(J25:AK25)</f>
        <v>51</v>
      </c>
      <c r="AP25" s="119"/>
      <c r="AQ25" s="119"/>
      <c r="AR25" s="40"/>
      <c r="AS25" s="15"/>
    </row>
    <row r="26" spans="1:85" customHeight="1" ht="13.5">
      <c r="A26" s="4"/>
      <c r="B26" s="115"/>
      <c r="C26" s="116"/>
      <c r="D26" s="116"/>
      <c r="E26" s="117"/>
      <c r="F26" s="131" t="s">
        <v>36</v>
      </c>
      <c r="G26" s="116"/>
      <c r="H26" s="116"/>
      <c r="I26" s="117"/>
      <c r="J26" s="34"/>
      <c r="K26" s="35"/>
      <c r="L26" s="35"/>
      <c r="M26" s="54"/>
      <c r="N26" s="130">
        <f>SUM(N24:Q25)</f>
        <v>49</v>
      </c>
      <c r="O26" s="119"/>
      <c r="P26" s="119"/>
      <c r="Q26" s="119"/>
      <c r="R26" s="130">
        <f>SUM(R24:U25)</f>
        <v>37</v>
      </c>
      <c r="S26" s="119"/>
      <c r="T26" s="119"/>
      <c r="U26" s="119"/>
      <c r="V26" s="130">
        <f>SUM(V24:Y25)</f>
        <v>0</v>
      </c>
      <c r="W26" s="119"/>
      <c r="X26" s="119"/>
      <c r="Y26" s="119"/>
      <c r="Z26" s="130">
        <f>SUM(Z24:AC25)</f>
        <v>0</v>
      </c>
      <c r="AA26" s="119"/>
      <c r="AB26" s="119"/>
      <c r="AC26" s="119"/>
      <c r="AD26" s="130">
        <f>SUM(AD24:AG25)</f>
        <v>0</v>
      </c>
      <c r="AE26" s="119"/>
      <c r="AF26" s="119"/>
      <c r="AG26" s="119"/>
      <c r="AH26" s="130">
        <f>SUM(AH24:AK25)</f>
        <v>0</v>
      </c>
      <c r="AI26" s="119"/>
      <c r="AJ26" s="119"/>
      <c r="AK26" s="119"/>
      <c r="AL26" s="130">
        <f>SUM(AL24:AN25)</f>
        <v>0</v>
      </c>
      <c r="AM26" s="119"/>
      <c r="AN26" s="119"/>
      <c r="AO26" s="130">
        <f>SUM(AO24:AR25)</f>
        <v>86</v>
      </c>
      <c r="AP26" s="119"/>
      <c r="AQ26" s="119"/>
      <c r="AR26" s="40"/>
      <c r="AS26" s="15"/>
    </row>
    <row r="27" spans="1:85" customHeight="1" ht="13.5">
      <c r="A27" s="4"/>
      <c r="B27" s="126" t="s">
        <v>39</v>
      </c>
      <c r="C27" s="105"/>
      <c r="D27" s="105"/>
      <c r="E27" s="100"/>
      <c r="F27" s="128" t="s">
        <v>34</v>
      </c>
      <c r="G27" s="95"/>
      <c r="H27" s="95"/>
      <c r="I27" s="96"/>
      <c r="J27" s="34"/>
      <c r="K27" s="35"/>
      <c r="L27" s="35"/>
      <c r="M27" s="54"/>
      <c r="N27" s="130">
        <v>0</v>
      </c>
      <c r="O27" s="119"/>
      <c r="P27" s="119"/>
      <c r="Q27" s="119"/>
      <c r="R27" s="130">
        <v>1</v>
      </c>
      <c r="S27" s="119"/>
      <c r="T27" s="119"/>
      <c r="U27" s="119"/>
      <c r="V27" s="130">
        <v>0</v>
      </c>
      <c r="W27" s="119"/>
      <c r="X27" s="119"/>
      <c r="Y27" s="119"/>
      <c r="Z27" s="130">
        <v>0</v>
      </c>
      <c r="AA27" s="119"/>
      <c r="AB27" s="119"/>
      <c r="AC27" s="119"/>
      <c r="AD27" s="130">
        <v>0</v>
      </c>
      <c r="AE27" s="119"/>
      <c r="AF27" s="119"/>
      <c r="AG27" s="119"/>
      <c r="AH27" s="130">
        <v>0</v>
      </c>
      <c r="AI27" s="119"/>
      <c r="AJ27" s="119"/>
      <c r="AK27" s="119"/>
      <c r="AL27" s="130">
        <v>0</v>
      </c>
      <c r="AM27" s="119"/>
      <c r="AN27" s="119"/>
      <c r="AO27" s="130">
        <f>SUM(J27:AK27)</f>
        <v>1</v>
      </c>
      <c r="AP27" s="119"/>
      <c r="AQ27" s="119"/>
      <c r="AR27" s="40"/>
      <c r="AS27" s="15"/>
    </row>
    <row r="28" spans="1:85" customHeight="1" ht="13.5">
      <c r="A28" s="4"/>
      <c r="B28" s="127"/>
      <c r="C28" s="105"/>
      <c r="D28" s="105"/>
      <c r="E28" s="100"/>
      <c r="F28" s="131" t="s">
        <v>35</v>
      </c>
      <c r="G28" s="116"/>
      <c r="H28" s="116"/>
      <c r="I28" s="117"/>
      <c r="J28" s="34"/>
      <c r="K28" s="35"/>
      <c r="L28" s="35"/>
      <c r="M28" s="54"/>
      <c r="N28" s="130">
        <v>1</v>
      </c>
      <c r="O28" s="119"/>
      <c r="P28" s="119"/>
      <c r="Q28" s="119"/>
      <c r="R28" s="130">
        <v>2</v>
      </c>
      <c r="S28" s="119"/>
      <c r="T28" s="119"/>
      <c r="U28" s="119"/>
      <c r="V28" s="130">
        <v>0</v>
      </c>
      <c r="W28" s="119"/>
      <c r="X28" s="119"/>
      <c r="Y28" s="119"/>
      <c r="Z28" s="130">
        <v>0</v>
      </c>
      <c r="AA28" s="119"/>
      <c r="AB28" s="119"/>
      <c r="AC28" s="119"/>
      <c r="AD28" s="130">
        <v>0</v>
      </c>
      <c r="AE28" s="119"/>
      <c r="AF28" s="119"/>
      <c r="AG28" s="119"/>
      <c r="AH28" s="130">
        <v>0</v>
      </c>
      <c r="AI28" s="119"/>
      <c r="AJ28" s="119"/>
      <c r="AK28" s="119"/>
      <c r="AL28" s="130">
        <v>0</v>
      </c>
      <c r="AM28" s="119"/>
      <c r="AN28" s="119"/>
      <c r="AO28" s="130">
        <f>SUM(J28:AK28)</f>
        <v>3</v>
      </c>
      <c r="AP28" s="119"/>
      <c r="AQ28" s="119"/>
      <c r="AR28" s="40"/>
      <c r="AS28" s="15"/>
    </row>
    <row r="29" spans="1:85" customHeight="1" ht="13.5">
      <c r="A29" s="4"/>
      <c r="B29" s="115"/>
      <c r="C29" s="116"/>
      <c r="D29" s="116"/>
      <c r="E29" s="117"/>
      <c r="F29" s="131" t="s">
        <v>36</v>
      </c>
      <c r="G29" s="116"/>
      <c r="H29" s="116"/>
      <c r="I29" s="117"/>
      <c r="J29" s="34"/>
      <c r="K29" s="35"/>
      <c r="L29" s="35"/>
      <c r="M29" s="54"/>
      <c r="N29" s="130">
        <f>SUM(N27:Q28)</f>
        <v>1</v>
      </c>
      <c r="O29" s="119"/>
      <c r="P29" s="119"/>
      <c r="Q29" s="119"/>
      <c r="R29" s="130">
        <f>SUM(R27:U28)</f>
        <v>3</v>
      </c>
      <c r="S29" s="119"/>
      <c r="T29" s="119"/>
      <c r="U29" s="119"/>
      <c r="V29" s="130">
        <f>SUM(V27:Y28)</f>
        <v>0</v>
      </c>
      <c r="W29" s="119"/>
      <c r="X29" s="119"/>
      <c r="Y29" s="119"/>
      <c r="Z29" s="130">
        <f>SUM(Z27:AC28)</f>
        <v>0</v>
      </c>
      <c r="AA29" s="119"/>
      <c r="AB29" s="119"/>
      <c r="AC29" s="119"/>
      <c r="AD29" s="130">
        <f>SUM(AD27:AG28)</f>
        <v>0</v>
      </c>
      <c r="AE29" s="119"/>
      <c r="AF29" s="119"/>
      <c r="AG29" s="119"/>
      <c r="AH29" s="130">
        <f>SUM(AH27:AK28)</f>
        <v>0</v>
      </c>
      <c r="AI29" s="119"/>
      <c r="AJ29" s="119"/>
      <c r="AK29" s="119"/>
      <c r="AL29" s="130">
        <f>SUM(AL27:AN28)</f>
        <v>0</v>
      </c>
      <c r="AM29" s="119"/>
      <c r="AN29" s="119"/>
      <c r="AO29" s="130">
        <f>SUM(AO27:AR28)</f>
        <v>4</v>
      </c>
      <c r="AP29" s="119"/>
      <c r="AQ29" s="119"/>
      <c r="AR29" s="40"/>
      <c r="AS29" s="15"/>
    </row>
    <row r="30" spans="1:85" customHeight="1" ht="13.5">
      <c r="A30" s="4"/>
      <c r="B30" s="126" t="s">
        <v>40</v>
      </c>
      <c r="C30" s="105"/>
      <c r="D30" s="105"/>
      <c r="E30" s="100"/>
      <c r="F30" s="128" t="s">
        <v>34</v>
      </c>
      <c r="G30" s="95"/>
      <c r="H30" s="95"/>
      <c r="I30" s="96"/>
      <c r="J30" s="34"/>
      <c r="K30" s="35"/>
      <c r="L30" s="35"/>
      <c r="M30" s="54"/>
      <c r="N30" s="130">
        <v>0</v>
      </c>
      <c r="O30" s="119"/>
      <c r="P30" s="119"/>
      <c r="Q30" s="119"/>
      <c r="R30" s="130">
        <v>0</v>
      </c>
      <c r="S30" s="119"/>
      <c r="T30" s="119"/>
      <c r="U30" s="119"/>
      <c r="V30" s="130">
        <v>0</v>
      </c>
      <c r="W30" s="119"/>
      <c r="X30" s="119"/>
      <c r="Y30" s="119"/>
      <c r="Z30" s="130">
        <v>0</v>
      </c>
      <c r="AA30" s="119"/>
      <c r="AB30" s="119"/>
      <c r="AC30" s="119"/>
      <c r="AD30" s="130">
        <v>0</v>
      </c>
      <c r="AE30" s="119"/>
      <c r="AF30" s="119"/>
      <c r="AG30" s="119"/>
      <c r="AH30" s="130">
        <v>0</v>
      </c>
      <c r="AI30" s="119"/>
      <c r="AJ30" s="119"/>
      <c r="AK30" s="119"/>
      <c r="AL30" s="130">
        <v>0</v>
      </c>
      <c r="AM30" s="119"/>
      <c r="AN30" s="119"/>
      <c r="AO30" s="130">
        <f>SUM(J30:AK30)</f>
        <v>0</v>
      </c>
      <c r="AP30" s="119"/>
      <c r="AQ30" s="119"/>
      <c r="AR30" s="40"/>
      <c r="AS30" s="15"/>
    </row>
    <row r="31" spans="1:85" customHeight="1" ht="13.5">
      <c r="A31" s="4"/>
      <c r="B31" s="127"/>
      <c r="C31" s="105"/>
      <c r="D31" s="105"/>
      <c r="E31" s="100"/>
      <c r="F31" s="131" t="s">
        <v>35</v>
      </c>
      <c r="G31" s="116"/>
      <c r="H31" s="116"/>
      <c r="I31" s="117"/>
      <c r="J31" s="34"/>
      <c r="K31" s="35"/>
      <c r="L31" s="35"/>
      <c r="M31" s="54"/>
      <c r="N31" s="130">
        <v>0</v>
      </c>
      <c r="O31" s="119"/>
      <c r="P31" s="119"/>
      <c r="Q31" s="119"/>
      <c r="R31" s="130">
        <v>0</v>
      </c>
      <c r="S31" s="119"/>
      <c r="T31" s="119"/>
      <c r="U31" s="119"/>
      <c r="V31" s="130">
        <v>0</v>
      </c>
      <c r="W31" s="119"/>
      <c r="X31" s="119"/>
      <c r="Y31" s="119"/>
      <c r="Z31" s="130">
        <v>0</v>
      </c>
      <c r="AA31" s="119"/>
      <c r="AB31" s="119"/>
      <c r="AC31" s="119"/>
      <c r="AD31" s="130">
        <v>0</v>
      </c>
      <c r="AE31" s="119"/>
      <c r="AF31" s="119"/>
      <c r="AG31" s="119"/>
      <c r="AH31" s="130">
        <v>0</v>
      </c>
      <c r="AI31" s="119"/>
      <c r="AJ31" s="119"/>
      <c r="AK31" s="119"/>
      <c r="AL31" s="130">
        <v>0</v>
      </c>
      <c r="AM31" s="119"/>
      <c r="AN31" s="119"/>
      <c r="AO31" s="130">
        <f>SUM(J31:AK31)</f>
        <v>0</v>
      </c>
      <c r="AP31" s="119"/>
      <c r="AQ31" s="119"/>
      <c r="AR31" s="40"/>
      <c r="AS31" s="15"/>
    </row>
    <row r="32" spans="1:85" customHeight="1" ht="13.5">
      <c r="A32" s="4"/>
      <c r="B32" s="115"/>
      <c r="C32" s="116"/>
      <c r="D32" s="116"/>
      <c r="E32" s="117"/>
      <c r="F32" s="131" t="s">
        <v>36</v>
      </c>
      <c r="G32" s="116"/>
      <c r="H32" s="116"/>
      <c r="I32" s="117"/>
      <c r="J32" s="34"/>
      <c r="K32" s="35"/>
      <c r="L32" s="35"/>
      <c r="M32" s="54"/>
      <c r="N32" s="130">
        <f>SUM(N30:Q31)</f>
        <v>0</v>
      </c>
      <c r="O32" s="119"/>
      <c r="P32" s="119"/>
      <c r="Q32" s="119"/>
      <c r="R32" s="130">
        <f>SUM(R30:U31)</f>
        <v>0</v>
      </c>
      <c r="S32" s="119"/>
      <c r="T32" s="119"/>
      <c r="U32" s="119"/>
      <c r="V32" s="130">
        <f>SUM(V30:Y31)</f>
        <v>0</v>
      </c>
      <c r="W32" s="119"/>
      <c r="X32" s="119"/>
      <c r="Y32" s="119"/>
      <c r="Z32" s="130">
        <f>SUM(Z30:AC31)</f>
        <v>0</v>
      </c>
      <c r="AA32" s="119"/>
      <c r="AB32" s="119"/>
      <c r="AC32" s="119"/>
      <c r="AD32" s="130">
        <f>SUM(AD30:AG31)</f>
        <v>0</v>
      </c>
      <c r="AE32" s="119"/>
      <c r="AF32" s="119"/>
      <c r="AG32" s="119"/>
      <c r="AH32" s="130">
        <f>SUM(AH30:AK31)</f>
        <v>0</v>
      </c>
      <c r="AI32" s="119"/>
      <c r="AJ32" s="119"/>
      <c r="AK32" s="119"/>
      <c r="AL32" s="130">
        <f>SUM(AL30:AN31)</f>
        <v>0</v>
      </c>
      <c r="AM32" s="119"/>
      <c r="AN32" s="119"/>
      <c r="AO32" s="130">
        <f>SUM(AO30:AR31)</f>
        <v>0</v>
      </c>
      <c r="AP32" s="119"/>
      <c r="AQ32" s="119"/>
      <c r="AR32" s="40"/>
      <c r="AS32" s="15"/>
    </row>
    <row r="33" spans="1:85" customHeight="1" ht="13.5">
      <c r="A33" s="4"/>
      <c r="B33" s="126" t="s">
        <v>41</v>
      </c>
      <c r="C33" s="105"/>
      <c r="D33" s="105"/>
      <c r="E33" s="100"/>
      <c r="F33" s="128" t="s">
        <v>34</v>
      </c>
      <c r="G33" s="95"/>
      <c r="H33" s="95"/>
      <c r="I33" s="96"/>
      <c r="J33" s="34"/>
      <c r="K33" s="35"/>
      <c r="L33" s="35"/>
      <c r="M33" s="54"/>
      <c r="N33" s="130">
        <v>0</v>
      </c>
      <c r="O33" s="119"/>
      <c r="P33" s="119"/>
      <c r="Q33" s="119"/>
      <c r="R33" s="130">
        <v>0</v>
      </c>
      <c r="S33" s="119"/>
      <c r="T33" s="119"/>
      <c r="U33" s="119"/>
      <c r="V33" s="130">
        <v>0</v>
      </c>
      <c r="W33" s="119"/>
      <c r="X33" s="119"/>
      <c r="Y33" s="119"/>
      <c r="Z33" s="130">
        <v>0</v>
      </c>
      <c r="AA33" s="119"/>
      <c r="AB33" s="119"/>
      <c r="AC33" s="119"/>
      <c r="AD33" s="130">
        <v>0</v>
      </c>
      <c r="AE33" s="119"/>
      <c r="AF33" s="119"/>
      <c r="AG33" s="119"/>
      <c r="AH33" s="130">
        <v>0</v>
      </c>
      <c r="AI33" s="119"/>
      <c r="AJ33" s="119"/>
      <c r="AK33" s="119"/>
      <c r="AL33" s="130">
        <v>0</v>
      </c>
      <c r="AM33" s="119"/>
      <c r="AN33" s="119"/>
      <c r="AO33" s="130">
        <f>SUM(J33:AK33)</f>
        <v>0</v>
      </c>
      <c r="AP33" s="119"/>
      <c r="AQ33" s="119"/>
      <c r="AR33" s="40"/>
      <c r="AS33" s="15"/>
    </row>
    <row r="34" spans="1:85" customHeight="1" ht="13.5">
      <c r="A34" s="4"/>
      <c r="B34" s="127"/>
      <c r="C34" s="105"/>
      <c r="D34" s="105"/>
      <c r="E34" s="100"/>
      <c r="F34" s="131" t="s">
        <v>35</v>
      </c>
      <c r="G34" s="116"/>
      <c r="H34" s="116"/>
      <c r="I34" s="117"/>
      <c r="J34" s="34"/>
      <c r="K34" s="35"/>
      <c r="L34" s="35"/>
      <c r="M34" s="54"/>
      <c r="N34" s="130">
        <v>0</v>
      </c>
      <c r="O34" s="119"/>
      <c r="P34" s="119"/>
      <c r="Q34" s="119"/>
      <c r="R34" s="130">
        <v>0</v>
      </c>
      <c r="S34" s="119"/>
      <c r="T34" s="119"/>
      <c r="U34" s="119"/>
      <c r="V34" s="130">
        <v>0</v>
      </c>
      <c r="W34" s="119"/>
      <c r="X34" s="119"/>
      <c r="Y34" s="119"/>
      <c r="Z34" s="130">
        <v>0</v>
      </c>
      <c r="AA34" s="119"/>
      <c r="AB34" s="119"/>
      <c r="AC34" s="119"/>
      <c r="AD34" s="130">
        <v>0</v>
      </c>
      <c r="AE34" s="119"/>
      <c r="AF34" s="119"/>
      <c r="AG34" s="119"/>
      <c r="AH34" s="130">
        <v>0</v>
      </c>
      <c r="AI34" s="119"/>
      <c r="AJ34" s="119"/>
      <c r="AK34" s="119"/>
      <c r="AL34" s="130">
        <v>0</v>
      </c>
      <c r="AM34" s="119"/>
      <c r="AN34" s="119"/>
      <c r="AO34" s="130">
        <f>SUM(J34:AK34)</f>
        <v>0</v>
      </c>
      <c r="AP34" s="119"/>
      <c r="AQ34" s="119"/>
      <c r="AR34" s="40"/>
      <c r="AS34" s="15"/>
    </row>
    <row r="35" spans="1:85" customHeight="1" ht="13.5">
      <c r="A35" s="4"/>
      <c r="B35" s="115"/>
      <c r="C35" s="116"/>
      <c r="D35" s="116"/>
      <c r="E35" s="117"/>
      <c r="F35" s="131" t="s">
        <v>36</v>
      </c>
      <c r="G35" s="116"/>
      <c r="H35" s="116"/>
      <c r="I35" s="117"/>
      <c r="J35" s="34"/>
      <c r="K35" s="35"/>
      <c r="L35" s="35"/>
      <c r="M35" s="54"/>
      <c r="N35" s="130">
        <f>SUM(N33:Q34)</f>
        <v>0</v>
      </c>
      <c r="O35" s="119"/>
      <c r="P35" s="119"/>
      <c r="Q35" s="119"/>
      <c r="R35" s="130">
        <f>SUM(R33:U34)</f>
        <v>0</v>
      </c>
      <c r="S35" s="119"/>
      <c r="T35" s="119"/>
      <c r="U35" s="119"/>
      <c r="V35" s="130">
        <f>SUM(V33:Y34)</f>
        <v>0</v>
      </c>
      <c r="W35" s="119"/>
      <c r="X35" s="119"/>
      <c r="Y35" s="119"/>
      <c r="Z35" s="130">
        <f>SUM(Z33:AC34)</f>
        <v>0</v>
      </c>
      <c r="AA35" s="119"/>
      <c r="AB35" s="119"/>
      <c r="AC35" s="119"/>
      <c r="AD35" s="130">
        <f>SUM(AD33:AG34)</f>
        <v>0</v>
      </c>
      <c r="AE35" s="119"/>
      <c r="AF35" s="119"/>
      <c r="AG35" s="119"/>
      <c r="AH35" s="130">
        <f>SUM(AH33:AK34)</f>
        <v>0</v>
      </c>
      <c r="AI35" s="119"/>
      <c r="AJ35" s="119"/>
      <c r="AK35" s="119"/>
      <c r="AL35" s="130">
        <f>SUM(AL33:AN34)</f>
        <v>0</v>
      </c>
      <c r="AM35" s="119"/>
      <c r="AN35" s="119"/>
      <c r="AO35" s="130">
        <f>SUM(AO33:AR34)</f>
        <v>0</v>
      </c>
      <c r="AP35" s="119"/>
      <c r="AQ35" s="119"/>
      <c r="AR35" s="40"/>
      <c r="AS35" s="15"/>
    </row>
    <row r="36" spans="1:85" customHeight="1" ht="13.5">
      <c r="A36" s="4"/>
      <c r="B36" s="126" t="s">
        <v>42</v>
      </c>
      <c r="C36" s="105"/>
      <c r="D36" s="105"/>
      <c r="E36" s="100"/>
      <c r="F36" s="128" t="s">
        <v>34</v>
      </c>
      <c r="G36" s="95"/>
      <c r="H36" s="95"/>
      <c r="I36" s="96"/>
      <c r="J36" s="34"/>
      <c r="K36" s="35"/>
      <c r="L36" s="35"/>
      <c r="M36" s="54"/>
      <c r="N36" s="130">
        <v>0</v>
      </c>
      <c r="O36" s="119"/>
      <c r="P36" s="119"/>
      <c r="Q36" s="119"/>
      <c r="R36" s="130">
        <v>0</v>
      </c>
      <c r="S36" s="119"/>
      <c r="T36" s="119"/>
      <c r="U36" s="119"/>
      <c r="V36" s="130">
        <v>0</v>
      </c>
      <c r="W36" s="119"/>
      <c r="X36" s="119"/>
      <c r="Y36" s="119"/>
      <c r="Z36" s="130">
        <v>0</v>
      </c>
      <c r="AA36" s="119"/>
      <c r="AB36" s="119"/>
      <c r="AC36" s="119"/>
      <c r="AD36" s="130">
        <v>0</v>
      </c>
      <c r="AE36" s="119"/>
      <c r="AF36" s="119"/>
      <c r="AG36" s="119"/>
      <c r="AH36" s="130">
        <v>0</v>
      </c>
      <c r="AI36" s="119"/>
      <c r="AJ36" s="119"/>
      <c r="AK36" s="119"/>
      <c r="AL36" s="130">
        <v>0</v>
      </c>
      <c r="AM36" s="119"/>
      <c r="AN36" s="119"/>
      <c r="AO36" s="130">
        <f>SUM(J36:AK36)</f>
        <v>0</v>
      </c>
      <c r="AP36" s="119"/>
      <c r="AQ36" s="119"/>
      <c r="AR36" s="40"/>
      <c r="AS36" s="15"/>
    </row>
    <row r="37" spans="1:85" customHeight="1" ht="13.5">
      <c r="A37" s="4"/>
      <c r="B37" s="127"/>
      <c r="C37" s="105"/>
      <c r="D37" s="105"/>
      <c r="E37" s="100"/>
      <c r="F37" s="131" t="s">
        <v>35</v>
      </c>
      <c r="G37" s="116"/>
      <c r="H37" s="116"/>
      <c r="I37" s="117"/>
      <c r="J37" s="34"/>
      <c r="K37" s="35"/>
      <c r="L37" s="35"/>
      <c r="M37" s="54"/>
      <c r="N37" s="130">
        <v>0</v>
      </c>
      <c r="O37" s="119"/>
      <c r="P37" s="119"/>
      <c r="Q37" s="119"/>
      <c r="R37" s="130">
        <v>0</v>
      </c>
      <c r="S37" s="119"/>
      <c r="T37" s="119"/>
      <c r="U37" s="119"/>
      <c r="V37" s="130">
        <v>0</v>
      </c>
      <c r="W37" s="119"/>
      <c r="X37" s="119"/>
      <c r="Y37" s="119"/>
      <c r="Z37" s="130">
        <v>0</v>
      </c>
      <c r="AA37" s="119"/>
      <c r="AB37" s="119"/>
      <c r="AC37" s="119"/>
      <c r="AD37" s="130">
        <v>0</v>
      </c>
      <c r="AE37" s="119"/>
      <c r="AF37" s="119"/>
      <c r="AG37" s="119"/>
      <c r="AH37" s="130">
        <v>0</v>
      </c>
      <c r="AI37" s="119"/>
      <c r="AJ37" s="119"/>
      <c r="AK37" s="119"/>
      <c r="AL37" s="130">
        <v>0</v>
      </c>
      <c r="AM37" s="119"/>
      <c r="AN37" s="119"/>
      <c r="AO37" s="130">
        <f>SUM(J37:AK37)</f>
        <v>0</v>
      </c>
      <c r="AP37" s="119"/>
      <c r="AQ37" s="119"/>
      <c r="AR37" s="40"/>
      <c r="AS37" s="15"/>
    </row>
    <row r="38" spans="1:85" customHeight="1" ht="13.5">
      <c r="A38" s="4"/>
      <c r="B38" s="115"/>
      <c r="C38" s="116"/>
      <c r="D38" s="116"/>
      <c r="E38" s="117"/>
      <c r="F38" s="131" t="s">
        <v>36</v>
      </c>
      <c r="G38" s="116"/>
      <c r="H38" s="116"/>
      <c r="I38" s="117"/>
      <c r="J38" s="34"/>
      <c r="K38" s="35"/>
      <c r="L38" s="35"/>
      <c r="M38" s="54"/>
      <c r="N38" s="130">
        <f>SUM(N36:Q37)</f>
        <v>0</v>
      </c>
      <c r="O38" s="119"/>
      <c r="P38" s="119"/>
      <c r="Q38" s="119"/>
      <c r="R38" s="130">
        <f>SUM(R36:U37)</f>
        <v>0</v>
      </c>
      <c r="S38" s="119"/>
      <c r="T38" s="119"/>
      <c r="U38" s="119"/>
      <c r="V38" s="130">
        <f>SUM(V36:Y37)</f>
        <v>0</v>
      </c>
      <c r="W38" s="119"/>
      <c r="X38" s="119"/>
      <c r="Y38" s="119"/>
      <c r="Z38" s="130">
        <f>SUM(Z36:AC37)</f>
        <v>0</v>
      </c>
      <c r="AA38" s="119"/>
      <c r="AB38" s="119"/>
      <c r="AC38" s="119"/>
      <c r="AD38" s="130">
        <f>SUM(AD36:AG37)</f>
        <v>0</v>
      </c>
      <c r="AE38" s="119"/>
      <c r="AF38" s="119"/>
      <c r="AG38" s="119"/>
      <c r="AH38" s="130">
        <f>SUM(AH36:AK37)</f>
        <v>0</v>
      </c>
      <c r="AI38" s="119"/>
      <c r="AJ38" s="119"/>
      <c r="AK38" s="119"/>
      <c r="AL38" s="130">
        <f>SUM(AL36:AN37)</f>
        <v>0</v>
      </c>
      <c r="AM38" s="119"/>
      <c r="AN38" s="119"/>
      <c r="AO38" s="130">
        <f>SUM(AO36:AR37)</f>
        <v>0</v>
      </c>
      <c r="AP38" s="119"/>
      <c r="AQ38" s="119"/>
      <c r="AR38" s="40"/>
      <c r="AS38" s="15"/>
    </row>
    <row r="39" spans="1:85" customHeight="1" ht="13.5">
      <c r="A39" s="4"/>
      <c r="B39" s="126" t="s">
        <v>43</v>
      </c>
      <c r="C39" s="105"/>
      <c r="D39" s="105"/>
      <c r="E39" s="100"/>
      <c r="F39" s="128" t="s">
        <v>34</v>
      </c>
      <c r="G39" s="95"/>
      <c r="H39" s="95"/>
      <c r="I39" s="96"/>
      <c r="J39" s="34"/>
      <c r="K39" s="35"/>
      <c r="L39" s="35"/>
      <c r="M39" s="54"/>
      <c r="N39" s="130">
        <v>0</v>
      </c>
      <c r="O39" s="119"/>
      <c r="P39" s="119"/>
      <c r="Q39" s="119"/>
      <c r="R39" s="130">
        <v>0</v>
      </c>
      <c r="S39" s="119"/>
      <c r="T39" s="119"/>
      <c r="U39" s="119"/>
      <c r="V39" s="130">
        <v>0</v>
      </c>
      <c r="W39" s="119"/>
      <c r="X39" s="119"/>
      <c r="Y39" s="119"/>
      <c r="Z39" s="130">
        <v>0</v>
      </c>
      <c r="AA39" s="119"/>
      <c r="AB39" s="119"/>
      <c r="AC39" s="119"/>
      <c r="AD39" s="130">
        <v>0</v>
      </c>
      <c r="AE39" s="119"/>
      <c r="AF39" s="119"/>
      <c r="AG39" s="119"/>
      <c r="AH39" s="130">
        <v>0</v>
      </c>
      <c r="AI39" s="119"/>
      <c r="AJ39" s="119"/>
      <c r="AK39" s="119"/>
      <c r="AL39" s="130">
        <v>0</v>
      </c>
      <c r="AM39" s="119"/>
      <c r="AN39" s="119"/>
      <c r="AO39" s="130">
        <f>SUM(J39:AK39)</f>
        <v>0</v>
      </c>
      <c r="AP39" s="119"/>
      <c r="AQ39" s="119"/>
      <c r="AR39" s="40"/>
      <c r="AS39" s="15"/>
    </row>
    <row r="40" spans="1:85" customHeight="1" ht="13.5">
      <c r="A40" s="4"/>
      <c r="B40" s="127"/>
      <c r="C40" s="105"/>
      <c r="D40" s="105"/>
      <c r="E40" s="100"/>
      <c r="F40" s="131" t="s">
        <v>35</v>
      </c>
      <c r="G40" s="116"/>
      <c r="H40" s="116"/>
      <c r="I40" s="117"/>
      <c r="J40" s="34"/>
      <c r="K40" s="35"/>
      <c r="L40" s="35"/>
      <c r="M40" s="54"/>
      <c r="N40" s="130">
        <v>0</v>
      </c>
      <c r="O40" s="119"/>
      <c r="P40" s="119"/>
      <c r="Q40" s="119"/>
      <c r="R40" s="130">
        <v>0</v>
      </c>
      <c r="S40" s="119"/>
      <c r="T40" s="119"/>
      <c r="U40" s="119"/>
      <c r="V40" s="130">
        <v>0</v>
      </c>
      <c r="W40" s="119"/>
      <c r="X40" s="119"/>
      <c r="Y40" s="119"/>
      <c r="Z40" s="130">
        <v>0</v>
      </c>
      <c r="AA40" s="119"/>
      <c r="AB40" s="119"/>
      <c r="AC40" s="119"/>
      <c r="AD40" s="130">
        <v>0</v>
      </c>
      <c r="AE40" s="119"/>
      <c r="AF40" s="119"/>
      <c r="AG40" s="119"/>
      <c r="AH40" s="130">
        <v>0</v>
      </c>
      <c r="AI40" s="119"/>
      <c r="AJ40" s="119"/>
      <c r="AK40" s="119"/>
      <c r="AL40" s="130">
        <v>0</v>
      </c>
      <c r="AM40" s="119"/>
      <c r="AN40" s="119"/>
      <c r="AO40" s="130">
        <f>SUM(J40:AK40)</f>
        <v>0</v>
      </c>
      <c r="AP40" s="119"/>
      <c r="AQ40" s="119"/>
      <c r="AR40" s="40"/>
      <c r="AS40" s="15"/>
    </row>
    <row r="41" spans="1:85" customHeight="1" ht="13.5">
      <c r="A41" s="4"/>
      <c r="B41" s="115"/>
      <c r="C41" s="116"/>
      <c r="D41" s="116"/>
      <c r="E41" s="117"/>
      <c r="F41" s="131" t="s">
        <v>36</v>
      </c>
      <c r="G41" s="116"/>
      <c r="H41" s="116"/>
      <c r="I41" s="117"/>
      <c r="J41" s="34"/>
      <c r="K41" s="35"/>
      <c r="L41" s="35"/>
      <c r="M41" s="54"/>
      <c r="N41" s="130">
        <f>SUM(N39:Q40)</f>
        <v>0</v>
      </c>
      <c r="O41" s="119"/>
      <c r="P41" s="119"/>
      <c r="Q41" s="119"/>
      <c r="R41" s="130">
        <f>SUM(R39:U40)</f>
        <v>0</v>
      </c>
      <c r="S41" s="119"/>
      <c r="T41" s="119"/>
      <c r="U41" s="119"/>
      <c r="V41" s="130">
        <f>SUM(V39:Y40)</f>
        <v>0</v>
      </c>
      <c r="W41" s="119"/>
      <c r="X41" s="119"/>
      <c r="Y41" s="119"/>
      <c r="Z41" s="130">
        <f>SUM(Z39:AC40)</f>
        <v>0</v>
      </c>
      <c r="AA41" s="119"/>
      <c r="AB41" s="119"/>
      <c r="AC41" s="119"/>
      <c r="AD41" s="130">
        <f>SUM(AD39:AG40)</f>
        <v>0</v>
      </c>
      <c r="AE41" s="119"/>
      <c r="AF41" s="119"/>
      <c r="AG41" s="119"/>
      <c r="AH41" s="130">
        <f>SUM(AH39:AK40)</f>
        <v>0</v>
      </c>
      <c r="AI41" s="119"/>
      <c r="AJ41" s="119"/>
      <c r="AK41" s="119"/>
      <c r="AL41" s="130">
        <f>SUM(AL39:AN40)</f>
        <v>0</v>
      </c>
      <c r="AM41" s="119"/>
      <c r="AN41" s="119"/>
      <c r="AO41" s="130">
        <f>SUM(AO39:AR40)</f>
        <v>0</v>
      </c>
      <c r="AP41" s="119"/>
      <c r="AQ41" s="119"/>
      <c r="AR41" s="40"/>
      <c r="AS41" s="15"/>
    </row>
    <row r="42" spans="1:85" customHeight="1" ht="13.5">
      <c r="A42" s="4"/>
      <c r="B42" s="126" t="s">
        <v>44</v>
      </c>
      <c r="C42" s="105"/>
      <c r="D42" s="105"/>
      <c r="E42" s="100"/>
      <c r="F42" s="128" t="s">
        <v>34</v>
      </c>
      <c r="G42" s="95"/>
      <c r="H42" s="95"/>
      <c r="I42" s="96"/>
      <c r="J42" s="34"/>
      <c r="K42" s="35"/>
      <c r="L42" s="35"/>
      <c r="M42" s="54"/>
      <c r="N42" s="130">
        <v>0</v>
      </c>
      <c r="O42" s="119"/>
      <c r="P42" s="119"/>
      <c r="Q42" s="119"/>
      <c r="R42" s="130">
        <v>0</v>
      </c>
      <c r="S42" s="119"/>
      <c r="T42" s="119"/>
      <c r="U42" s="119"/>
      <c r="V42" s="130">
        <v>0</v>
      </c>
      <c r="W42" s="119"/>
      <c r="X42" s="119"/>
      <c r="Y42" s="119"/>
      <c r="Z42" s="130">
        <v>0</v>
      </c>
      <c r="AA42" s="119"/>
      <c r="AB42" s="119"/>
      <c r="AC42" s="119"/>
      <c r="AD42" s="130">
        <v>0</v>
      </c>
      <c r="AE42" s="119"/>
      <c r="AF42" s="119"/>
      <c r="AG42" s="119"/>
      <c r="AH42" s="130">
        <v>0</v>
      </c>
      <c r="AI42" s="119"/>
      <c r="AJ42" s="119"/>
      <c r="AK42" s="119"/>
      <c r="AL42" s="130">
        <v>0</v>
      </c>
      <c r="AM42" s="119"/>
      <c r="AN42" s="119"/>
      <c r="AO42" s="130">
        <f>SUM(J42:AK42)</f>
        <v>0</v>
      </c>
      <c r="AP42" s="119"/>
      <c r="AQ42" s="119"/>
      <c r="AR42" s="40"/>
      <c r="AS42" s="15"/>
    </row>
    <row r="43" spans="1:85" customHeight="1" ht="13.5">
      <c r="A43" s="4"/>
      <c r="B43" s="127"/>
      <c r="C43" s="105"/>
      <c r="D43" s="105"/>
      <c r="E43" s="100"/>
      <c r="F43" s="131" t="s">
        <v>35</v>
      </c>
      <c r="G43" s="116"/>
      <c r="H43" s="116"/>
      <c r="I43" s="117"/>
      <c r="J43" s="34"/>
      <c r="K43" s="35"/>
      <c r="L43" s="35"/>
      <c r="M43" s="54"/>
      <c r="N43" s="130">
        <v>0</v>
      </c>
      <c r="O43" s="119"/>
      <c r="P43" s="119"/>
      <c r="Q43" s="119"/>
      <c r="R43" s="130">
        <v>0</v>
      </c>
      <c r="S43" s="119"/>
      <c r="T43" s="119"/>
      <c r="U43" s="119"/>
      <c r="V43" s="130">
        <v>0</v>
      </c>
      <c r="W43" s="119"/>
      <c r="X43" s="119"/>
      <c r="Y43" s="119"/>
      <c r="Z43" s="130">
        <v>0</v>
      </c>
      <c r="AA43" s="119"/>
      <c r="AB43" s="119"/>
      <c r="AC43" s="119"/>
      <c r="AD43" s="130">
        <v>0</v>
      </c>
      <c r="AE43" s="119"/>
      <c r="AF43" s="119"/>
      <c r="AG43" s="119"/>
      <c r="AH43" s="130">
        <v>0</v>
      </c>
      <c r="AI43" s="119"/>
      <c r="AJ43" s="119"/>
      <c r="AK43" s="119"/>
      <c r="AL43" s="130">
        <v>0</v>
      </c>
      <c r="AM43" s="119"/>
      <c r="AN43" s="119"/>
      <c r="AO43" s="130">
        <f>SUM(J43:AK43)</f>
        <v>0</v>
      </c>
      <c r="AP43" s="119"/>
      <c r="AQ43" s="119"/>
      <c r="AR43" s="40"/>
      <c r="AS43" s="15"/>
    </row>
    <row r="44" spans="1:85" customHeight="1" ht="13.5">
      <c r="A44" s="4"/>
      <c r="B44" s="115"/>
      <c r="C44" s="116"/>
      <c r="D44" s="116"/>
      <c r="E44" s="117"/>
      <c r="F44" s="131" t="s">
        <v>36</v>
      </c>
      <c r="G44" s="116"/>
      <c r="H44" s="116"/>
      <c r="I44" s="117"/>
      <c r="J44" s="34"/>
      <c r="K44" s="35"/>
      <c r="L44" s="35"/>
      <c r="M44" s="54"/>
      <c r="N44" s="130">
        <f>SUM(N42:Q43)</f>
        <v>0</v>
      </c>
      <c r="O44" s="119"/>
      <c r="P44" s="119"/>
      <c r="Q44" s="119"/>
      <c r="R44" s="130">
        <f>SUM(R42:U43)</f>
        <v>0</v>
      </c>
      <c r="S44" s="119"/>
      <c r="T44" s="119"/>
      <c r="U44" s="119"/>
      <c r="V44" s="130">
        <f>SUM(V42:Y43)</f>
        <v>0</v>
      </c>
      <c r="W44" s="119"/>
      <c r="X44" s="119"/>
      <c r="Y44" s="119"/>
      <c r="Z44" s="130">
        <f>SUM(Z42:AC43)</f>
        <v>0</v>
      </c>
      <c r="AA44" s="119"/>
      <c r="AB44" s="119"/>
      <c r="AC44" s="119"/>
      <c r="AD44" s="130">
        <f>SUM(AD42:AG43)</f>
        <v>0</v>
      </c>
      <c r="AE44" s="119"/>
      <c r="AF44" s="119"/>
      <c r="AG44" s="119"/>
      <c r="AH44" s="130">
        <f>SUM(AH42:AK43)</f>
        <v>0</v>
      </c>
      <c r="AI44" s="119"/>
      <c r="AJ44" s="119"/>
      <c r="AK44" s="119"/>
      <c r="AL44" s="130">
        <f>SUM(AL42:AN43)</f>
        <v>0</v>
      </c>
      <c r="AM44" s="119"/>
      <c r="AN44" s="119"/>
      <c r="AO44" s="130">
        <f>SUM(AO42:AR43)</f>
        <v>0</v>
      </c>
      <c r="AP44" s="119"/>
      <c r="AQ44" s="119"/>
      <c r="AR44" s="40"/>
      <c r="AS44" s="15"/>
    </row>
    <row r="45" spans="1:85" customHeight="1" ht="13.5">
      <c r="A45" s="4"/>
      <c r="B45" s="134" t="s">
        <v>45</v>
      </c>
      <c r="C45" s="91"/>
      <c r="D45" s="91"/>
      <c r="E45" s="93"/>
      <c r="F45" s="128" t="s">
        <v>34</v>
      </c>
      <c r="G45" s="95"/>
      <c r="H45" s="95"/>
      <c r="I45" s="96"/>
      <c r="J45" s="34"/>
      <c r="K45" s="35"/>
      <c r="L45" s="35"/>
      <c r="M45" s="54"/>
      <c r="N45" s="130">
        <f>SUM(N42,N39,N36,N33,N30,N27,N24,N21,N18)</f>
        <v>64</v>
      </c>
      <c r="O45" s="119"/>
      <c r="P45" s="119"/>
      <c r="Q45" s="119"/>
      <c r="R45" s="130">
        <f>SUM(R42,R39,R36,R33,R30,R27,R24,R21,R18)</f>
        <v>48</v>
      </c>
      <c r="S45" s="119"/>
      <c r="T45" s="119"/>
      <c r="U45" s="119"/>
      <c r="V45" s="130">
        <f>SUM(V42,V39,V36,V33,V30,V27,V24,V21,V18)</f>
        <v>63</v>
      </c>
      <c r="W45" s="119"/>
      <c r="X45" s="119"/>
      <c r="Y45" s="119"/>
      <c r="Z45" s="130">
        <f>SUM(Z42,Z39,Z36,Z33,Z30,Z27,Z24,Z21,Z18)</f>
        <v>4</v>
      </c>
      <c r="AA45" s="119"/>
      <c r="AB45" s="119"/>
      <c r="AC45" s="119"/>
      <c r="AD45" s="130">
        <f>SUM(AD42,AD39,AD36,AD33,AD30,AD27,AD24,AD21,AD18)</f>
        <v>12</v>
      </c>
      <c r="AE45" s="119"/>
      <c r="AF45" s="119"/>
      <c r="AG45" s="119"/>
      <c r="AH45" s="130">
        <f>SUM(AH42,AH39,AH36,AH33,AH30,AH27,AH24,AH21,AH18)</f>
        <v>5</v>
      </c>
      <c r="AI45" s="119"/>
      <c r="AJ45" s="119"/>
      <c r="AK45" s="119"/>
      <c r="AL45" s="130">
        <v>0</v>
      </c>
      <c r="AM45" s="119"/>
      <c r="AN45" s="119"/>
      <c r="AO45" s="130">
        <f>SUM(J45:AK45)</f>
        <v>196</v>
      </c>
      <c r="AP45" s="119"/>
      <c r="AQ45" s="119"/>
      <c r="AR45" s="40"/>
      <c r="AS45" s="15"/>
    </row>
    <row r="46" spans="1:85" customHeight="1" ht="13.5">
      <c r="A46" s="4"/>
      <c r="B46" s="127"/>
      <c r="C46" s="105"/>
      <c r="D46" s="105"/>
      <c r="E46" s="100"/>
      <c r="F46" s="131" t="s">
        <v>35</v>
      </c>
      <c r="G46" s="116"/>
      <c r="H46" s="116"/>
      <c r="I46" s="117"/>
      <c r="J46" s="34"/>
      <c r="K46" s="35"/>
      <c r="L46" s="35"/>
      <c r="M46" s="54"/>
      <c r="N46" s="130">
        <f>SUM(N43,N40,N37,N34,N31,N28,N25,N22,N19)</f>
        <v>63</v>
      </c>
      <c r="O46" s="119"/>
      <c r="P46" s="119"/>
      <c r="Q46" s="119"/>
      <c r="R46" s="130">
        <f>SUM(R43,R40,R37,R34,R31,R28,R25,R22,R19)</f>
        <v>55</v>
      </c>
      <c r="S46" s="119"/>
      <c r="T46" s="119"/>
      <c r="U46" s="119"/>
      <c r="V46" s="130">
        <f>SUM(V43,V40,V37,V34,V31,V28,V25,V22,V19)</f>
        <v>52</v>
      </c>
      <c r="W46" s="119"/>
      <c r="X46" s="119"/>
      <c r="Y46" s="119"/>
      <c r="Z46" s="130">
        <f>SUM(Z43,Z40,Z37,Z34,Z31,Z28,Z25,Z22,Z19)</f>
        <v>5</v>
      </c>
      <c r="AA46" s="119"/>
      <c r="AB46" s="119"/>
      <c r="AC46" s="119"/>
      <c r="AD46" s="130">
        <f>SUM(AD43,AD40,AD37,AD34,AD31,AD28,AD25,AD22,AD19)</f>
        <v>15</v>
      </c>
      <c r="AE46" s="119"/>
      <c r="AF46" s="119"/>
      <c r="AG46" s="119"/>
      <c r="AH46" s="130">
        <f>SUM(AH43,AH40,AH37,AH34,AH31,AH28,AH25,AH22,AH19)</f>
        <v>8</v>
      </c>
      <c r="AI46" s="119"/>
      <c r="AJ46" s="119"/>
      <c r="AK46" s="119"/>
      <c r="AL46" s="130">
        <v>0</v>
      </c>
      <c r="AM46" s="119"/>
      <c r="AN46" s="119"/>
      <c r="AO46" s="130">
        <f>SUM(J46:AK46)</f>
        <v>198</v>
      </c>
      <c r="AP46" s="119"/>
      <c r="AQ46" s="119"/>
      <c r="AR46" s="40"/>
      <c r="AS46" s="15"/>
    </row>
    <row r="47" spans="1:85" customHeight="1" ht="13.5">
      <c r="A47" s="4"/>
      <c r="B47" s="115"/>
      <c r="C47" s="116"/>
      <c r="D47" s="116"/>
      <c r="E47" s="117"/>
      <c r="F47" s="131" t="s">
        <v>36</v>
      </c>
      <c r="G47" s="116"/>
      <c r="H47" s="116"/>
      <c r="I47" s="117"/>
      <c r="J47" s="135">
        <f>SUM(J20,J23,J26,J29,J32,J35,J38,J41,J44)</f>
        <v>56</v>
      </c>
      <c r="K47" s="95"/>
      <c r="L47" s="95"/>
      <c r="M47" s="95"/>
      <c r="N47" s="130">
        <f>SUM(N20,N23,N26,N29,N32,N35,N38,N41,N44)</f>
        <v>127</v>
      </c>
      <c r="O47" s="119"/>
      <c r="P47" s="119"/>
      <c r="Q47" s="119"/>
      <c r="R47" s="130">
        <f>SUM(R20,R23,R26,R29,R32,R35,R38,R41,R44)</f>
        <v>103</v>
      </c>
      <c r="S47" s="119"/>
      <c r="T47" s="119"/>
      <c r="U47" s="119"/>
      <c r="V47" s="130">
        <f>SUM(V20,V23,V26,V29,V32,V35,V38,V41,V44)</f>
        <v>115</v>
      </c>
      <c r="W47" s="119"/>
      <c r="X47" s="119"/>
      <c r="Y47" s="119"/>
      <c r="Z47" s="130">
        <f>SUM(Z20,Z23,Z26,Z29,Z32,Z35,Z38,Z41,Z44)</f>
        <v>9</v>
      </c>
      <c r="AA47" s="119"/>
      <c r="AB47" s="119"/>
      <c r="AC47" s="119"/>
      <c r="AD47" s="130">
        <f>SUM(AD20,AD23,AD26,AD29,AD32,AD35,AD38,AD41,AD44)</f>
        <v>27</v>
      </c>
      <c r="AE47" s="119"/>
      <c r="AF47" s="119"/>
      <c r="AG47" s="119"/>
      <c r="AH47" s="130">
        <f>SUM(AH20,AH23,AH26,AH29,AH32,AH35,AH38,AH41,AH44)</f>
        <v>13</v>
      </c>
      <c r="AI47" s="119"/>
      <c r="AJ47" s="119"/>
      <c r="AK47" s="119"/>
      <c r="AL47" s="130">
        <f>SUM(AL20,AL23,AL26,AL29,AL32,AL35,AL38,AL41,AL44)</f>
        <v>0</v>
      </c>
      <c r="AM47" s="119"/>
      <c r="AN47" s="119"/>
      <c r="AO47" s="130">
        <f>SUM(AO20,AO23,AO26,AO29,AO32,AO35,AO38,AO41,AO44)</f>
        <v>450</v>
      </c>
      <c r="AP47" s="119"/>
      <c r="AQ47" s="119"/>
      <c r="AR47" s="40"/>
      <c r="AS47" s="15"/>
    </row>
    <row r="48" spans="1:85" customHeight="1" ht="13.5">
      <c r="A48" s="4"/>
      <c r="B48" s="17"/>
      <c r="C48" s="17"/>
      <c r="D48" s="17"/>
      <c r="E48" s="17"/>
      <c r="F48" s="17"/>
      <c r="G48" s="17"/>
      <c r="H48" s="17"/>
      <c r="I48" s="17"/>
      <c r="J48" s="15"/>
      <c r="K48" s="15"/>
      <c r="L48" s="15"/>
      <c r="M48" s="15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15"/>
      <c r="AS48" s="15"/>
    </row>
    <row r="49" spans="1:85" customHeight="1" ht="13.5">
      <c r="A49" s="4"/>
      <c r="B49" s="17"/>
      <c r="C49" s="17"/>
      <c r="D49" s="17"/>
      <c r="E49" s="17"/>
      <c r="F49" s="17"/>
      <c r="G49" s="17"/>
      <c r="H49" s="17"/>
      <c r="I49" s="17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</row>
    <row r="50" spans="1:85" customHeight="1" ht="13.5">
      <c r="A50" s="4"/>
      <c r="B50" s="16"/>
      <c r="C50" s="16"/>
      <c r="D50" s="16"/>
      <c r="E50" s="16"/>
      <c r="F50" s="16"/>
      <c r="G50" s="16"/>
      <c r="H50" s="1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</row>
    <row r="51" spans="1:85" customHeight="1" ht="13.5">
      <c r="A51" s="4"/>
      <c r="B51" s="137" t="s">
        <v>46</v>
      </c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4"/>
      <c r="AS51" s="4"/>
    </row>
    <row r="52" spans="1:85" customHeight="1" ht="13.5">
      <c r="A52" s="4"/>
      <c r="B52" s="114" t="s">
        <v>22</v>
      </c>
      <c r="C52" s="91"/>
      <c r="D52" s="91"/>
      <c r="E52" s="93"/>
      <c r="F52" s="114" t="s">
        <v>23</v>
      </c>
      <c r="G52" s="91"/>
      <c r="H52" s="91"/>
      <c r="I52" s="93"/>
      <c r="J52" s="114" t="s">
        <v>24</v>
      </c>
      <c r="K52" s="91"/>
      <c r="L52" s="91"/>
      <c r="M52" s="91"/>
      <c r="N52" s="118" t="s">
        <v>25</v>
      </c>
      <c r="O52" s="119"/>
      <c r="P52" s="119"/>
      <c r="Q52" s="119"/>
      <c r="R52" s="118" t="s">
        <v>26</v>
      </c>
      <c r="S52" s="119"/>
      <c r="T52" s="119"/>
      <c r="U52" s="119"/>
      <c r="V52" s="118" t="s">
        <v>27</v>
      </c>
      <c r="W52" s="119"/>
      <c r="X52" s="119"/>
      <c r="Y52" s="119"/>
      <c r="Z52" s="120" t="s">
        <v>28</v>
      </c>
      <c r="AA52" s="119"/>
      <c r="AB52" s="119"/>
      <c r="AC52" s="119"/>
      <c r="AD52" s="118" t="s">
        <v>29</v>
      </c>
      <c r="AE52" s="119"/>
      <c r="AF52" s="119"/>
      <c r="AG52" s="119"/>
      <c r="AH52" s="118" t="s">
        <v>30</v>
      </c>
      <c r="AI52" s="119"/>
      <c r="AJ52" s="119"/>
      <c r="AK52" s="119"/>
      <c r="AL52" s="120" t="s">
        <v>31</v>
      </c>
      <c r="AM52" s="119"/>
      <c r="AN52" s="119"/>
      <c r="AO52" s="118" t="s">
        <v>32</v>
      </c>
      <c r="AP52" s="119"/>
      <c r="AQ52" s="119"/>
      <c r="AR52" s="55"/>
      <c r="AS52" s="14"/>
    </row>
    <row r="53" spans="1:85" customHeight="1" ht="13.5">
      <c r="A53" s="4"/>
      <c r="B53" s="115"/>
      <c r="C53" s="116"/>
      <c r="D53" s="116"/>
      <c r="E53" s="117"/>
      <c r="F53" s="115"/>
      <c r="G53" s="116"/>
      <c r="H53" s="116"/>
      <c r="I53" s="117"/>
      <c r="J53" s="115"/>
      <c r="K53" s="116"/>
      <c r="L53" s="116"/>
      <c r="M53" s="116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  <c r="AH53" s="119"/>
      <c r="AI53" s="119"/>
      <c r="AJ53" s="119"/>
      <c r="AK53" s="119"/>
      <c r="AL53" s="119"/>
      <c r="AM53" s="119"/>
      <c r="AN53" s="119"/>
      <c r="AO53" s="119"/>
      <c r="AP53" s="119"/>
      <c r="AQ53" s="119"/>
      <c r="AR53" s="55"/>
      <c r="AS53" s="14"/>
    </row>
    <row r="54" spans="1:85" customHeight="1" ht="13.5">
      <c r="A54" s="4"/>
      <c r="B54" s="126" t="s">
        <v>33</v>
      </c>
      <c r="C54" s="105"/>
      <c r="D54" s="105"/>
      <c r="E54" s="100"/>
      <c r="F54" s="128" t="s">
        <v>34</v>
      </c>
      <c r="G54" s="95"/>
      <c r="H54" s="95"/>
      <c r="I54" s="96"/>
      <c r="J54" s="129">
        <v>24</v>
      </c>
      <c r="K54" s="91"/>
      <c r="L54" s="91"/>
      <c r="M54" s="91"/>
      <c r="N54" s="130">
        <v>23</v>
      </c>
      <c r="O54" s="119"/>
      <c r="P54" s="119"/>
      <c r="Q54" s="119"/>
      <c r="R54" s="130">
        <v>21</v>
      </c>
      <c r="S54" s="119"/>
      <c r="T54" s="119"/>
      <c r="U54" s="119"/>
      <c r="V54" s="130">
        <v>26</v>
      </c>
      <c r="W54" s="119"/>
      <c r="X54" s="119"/>
      <c r="Y54" s="119"/>
      <c r="Z54" s="130">
        <v>0</v>
      </c>
      <c r="AA54" s="119"/>
      <c r="AB54" s="119"/>
      <c r="AC54" s="119"/>
      <c r="AD54" s="130">
        <v>0</v>
      </c>
      <c r="AE54" s="119"/>
      <c r="AF54" s="119"/>
      <c r="AG54" s="119"/>
      <c r="AH54" s="130">
        <v>0</v>
      </c>
      <c r="AI54" s="119"/>
      <c r="AJ54" s="119"/>
      <c r="AK54" s="119"/>
      <c r="AL54" s="130">
        <v>0</v>
      </c>
      <c r="AM54" s="119"/>
      <c r="AN54" s="119"/>
      <c r="AO54" s="130">
        <f>SUM(J54:AK54)</f>
        <v>94</v>
      </c>
      <c r="AP54" s="119"/>
      <c r="AQ54" s="119"/>
      <c r="AR54" s="40"/>
      <c r="AS54" s="15"/>
    </row>
    <row r="55" spans="1:85" customHeight="1" ht="13.5">
      <c r="A55" s="4"/>
      <c r="B55" s="127"/>
      <c r="C55" s="105"/>
      <c r="D55" s="105"/>
      <c r="E55" s="100"/>
      <c r="F55" s="131" t="s">
        <v>35</v>
      </c>
      <c r="G55" s="116"/>
      <c r="H55" s="116"/>
      <c r="I55" s="117"/>
      <c r="J55" s="129">
        <v>27</v>
      </c>
      <c r="K55" s="91"/>
      <c r="L55" s="91"/>
      <c r="M55" s="91"/>
      <c r="N55" s="130">
        <v>18</v>
      </c>
      <c r="O55" s="119"/>
      <c r="P55" s="119"/>
      <c r="Q55" s="119"/>
      <c r="R55" s="130">
        <v>16</v>
      </c>
      <c r="S55" s="119"/>
      <c r="T55" s="119"/>
      <c r="U55" s="119"/>
      <c r="V55" s="130">
        <v>21</v>
      </c>
      <c r="W55" s="119"/>
      <c r="X55" s="119"/>
      <c r="Y55" s="119"/>
      <c r="Z55" s="130">
        <v>0</v>
      </c>
      <c r="AA55" s="119"/>
      <c r="AB55" s="119"/>
      <c r="AC55" s="119"/>
      <c r="AD55" s="130">
        <v>0</v>
      </c>
      <c r="AE55" s="119"/>
      <c r="AF55" s="119"/>
      <c r="AG55" s="119"/>
      <c r="AH55" s="130">
        <v>0</v>
      </c>
      <c r="AI55" s="119"/>
      <c r="AJ55" s="119"/>
      <c r="AK55" s="119"/>
      <c r="AL55" s="130">
        <v>0</v>
      </c>
      <c r="AM55" s="119"/>
      <c r="AN55" s="119"/>
      <c r="AO55" s="130">
        <f>SUM(J55:AK55)</f>
        <v>82</v>
      </c>
      <c r="AP55" s="119"/>
      <c r="AQ55" s="119"/>
      <c r="AR55" s="40"/>
      <c r="AS55" s="15"/>
    </row>
    <row r="56" spans="1:85" customHeight="1" ht="13.5">
      <c r="A56" s="4"/>
      <c r="B56" s="115"/>
      <c r="C56" s="116"/>
      <c r="D56" s="116"/>
      <c r="E56" s="117"/>
      <c r="F56" s="131" t="s">
        <v>36</v>
      </c>
      <c r="G56" s="116"/>
      <c r="H56" s="116"/>
      <c r="I56" s="117"/>
      <c r="J56" s="129">
        <f>SUM(J54:M55)</f>
        <v>51</v>
      </c>
      <c r="K56" s="91"/>
      <c r="L56" s="91"/>
      <c r="M56" s="91"/>
      <c r="N56" s="130">
        <f>SUM(N54:Q55)</f>
        <v>41</v>
      </c>
      <c r="O56" s="119"/>
      <c r="P56" s="119"/>
      <c r="Q56" s="119"/>
      <c r="R56" s="130">
        <f>SUM(R54:U55)</f>
        <v>37</v>
      </c>
      <c r="S56" s="119"/>
      <c r="T56" s="119"/>
      <c r="U56" s="119"/>
      <c r="V56" s="130">
        <f>SUM(V54:Y55)</f>
        <v>47</v>
      </c>
      <c r="W56" s="119"/>
      <c r="X56" s="119"/>
      <c r="Y56" s="119"/>
      <c r="Z56" s="130">
        <f>SUM(Z54:AC55)</f>
        <v>0</v>
      </c>
      <c r="AA56" s="119"/>
      <c r="AB56" s="119"/>
      <c r="AC56" s="119"/>
      <c r="AD56" s="130">
        <f>SUM(AD54:AG55)</f>
        <v>0</v>
      </c>
      <c r="AE56" s="119"/>
      <c r="AF56" s="119"/>
      <c r="AG56" s="119"/>
      <c r="AH56" s="130">
        <f>SUM(AH54:AK55)</f>
        <v>0</v>
      </c>
      <c r="AI56" s="119"/>
      <c r="AJ56" s="119"/>
      <c r="AK56" s="119"/>
      <c r="AL56" s="130">
        <f>SUM(AL54:AN55)</f>
        <v>0</v>
      </c>
      <c r="AM56" s="119"/>
      <c r="AN56" s="119"/>
      <c r="AO56" s="130">
        <f>SUM(AO54:AR55)</f>
        <v>176</v>
      </c>
      <c r="AP56" s="119"/>
      <c r="AQ56" s="119"/>
      <c r="AR56" s="40"/>
      <c r="AS56" s="15"/>
    </row>
    <row r="57" spans="1:85" customHeight="1" ht="13.5">
      <c r="A57" s="4"/>
      <c r="B57" s="126" t="s">
        <v>37</v>
      </c>
      <c r="C57" s="105"/>
      <c r="D57" s="105"/>
      <c r="E57" s="100"/>
      <c r="F57" s="128" t="s">
        <v>34</v>
      </c>
      <c r="G57" s="95"/>
      <c r="H57" s="95"/>
      <c r="I57" s="95"/>
      <c r="J57" s="133">
        <v>2</v>
      </c>
      <c r="K57" s="133"/>
      <c r="L57" s="133"/>
      <c r="M57" s="133"/>
      <c r="N57" s="132">
        <v>21</v>
      </c>
      <c r="O57" s="119"/>
      <c r="P57" s="119"/>
      <c r="Q57" s="119"/>
      <c r="R57" s="130">
        <v>11</v>
      </c>
      <c r="S57" s="119"/>
      <c r="T57" s="119"/>
      <c r="U57" s="119"/>
      <c r="V57" s="130">
        <v>37</v>
      </c>
      <c r="W57" s="119"/>
      <c r="X57" s="119"/>
      <c r="Y57" s="119"/>
      <c r="Z57" s="130">
        <v>4</v>
      </c>
      <c r="AA57" s="119"/>
      <c r="AB57" s="119"/>
      <c r="AC57" s="119"/>
      <c r="AD57" s="130">
        <v>12</v>
      </c>
      <c r="AE57" s="119"/>
      <c r="AF57" s="119"/>
      <c r="AG57" s="119"/>
      <c r="AH57" s="130">
        <v>5</v>
      </c>
      <c r="AI57" s="119"/>
      <c r="AJ57" s="119"/>
      <c r="AK57" s="119"/>
      <c r="AL57" s="130">
        <v>0</v>
      </c>
      <c r="AM57" s="119"/>
      <c r="AN57" s="119"/>
      <c r="AO57" s="130">
        <f>SUM(J57:AK57)</f>
        <v>92</v>
      </c>
      <c r="AP57" s="119"/>
      <c r="AQ57" s="119"/>
      <c r="AR57" s="40"/>
      <c r="AS57" s="15"/>
    </row>
    <row r="58" spans="1:85" customHeight="1" ht="13.5">
      <c r="A58" s="4"/>
      <c r="B58" s="127"/>
      <c r="C58" s="105"/>
      <c r="D58" s="105"/>
      <c r="E58" s="100"/>
      <c r="F58" s="131" t="s">
        <v>35</v>
      </c>
      <c r="G58" s="116"/>
      <c r="H58" s="116"/>
      <c r="I58" s="116"/>
      <c r="J58" s="133">
        <v>3</v>
      </c>
      <c r="K58" s="133"/>
      <c r="L58" s="133"/>
      <c r="M58" s="133"/>
      <c r="N58" s="132">
        <v>15</v>
      </c>
      <c r="O58" s="119"/>
      <c r="P58" s="119"/>
      <c r="Q58" s="119"/>
      <c r="R58" s="130">
        <v>15</v>
      </c>
      <c r="S58" s="119"/>
      <c r="T58" s="119"/>
      <c r="U58" s="119"/>
      <c r="V58" s="130">
        <v>31</v>
      </c>
      <c r="W58" s="119"/>
      <c r="X58" s="119"/>
      <c r="Y58" s="119"/>
      <c r="Z58" s="130">
        <v>5</v>
      </c>
      <c r="AA58" s="119"/>
      <c r="AB58" s="119"/>
      <c r="AC58" s="119"/>
      <c r="AD58" s="130">
        <v>15</v>
      </c>
      <c r="AE58" s="119"/>
      <c r="AF58" s="119"/>
      <c r="AG58" s="119"/>
      <c r="AH58" s="130">
        <v>8</v>
      </c>
      <c r="AI58" s="119"/>
      <c r="AJ58" s="119"/>
      <c r="AK58" s="119"/>
      <c r="AL58" s="130">
        <v>0</v>
      </c>
      <c r="AM58" s="119"/>
      <c r="AN58" s="119"/>
      <c r="AO58" s="130">
        <f>SUM(J58:AK58)</f>
        <v>92</v>
      </c>
      <c r="AP58" s="119"/>
      <c r="AQ58" s="119"/>
      <c r="AR58" s="40"/>
      <c r="AS58" s="15"/>
    </row>
    <row r="59" spans="1:85" customHeight="1" ht="13.5">
      <c r="A59" s="4"/>
      <c r="B59" s="115"/>
      <c r="C59" s="116"/>
      <c r="D59" s="116"/>
      <c r="E59" s="117"/>
      <c r="F59" s="131" t="s">
        <v>36</v>
      </c>
      <c r="G59" s="116"/>
      <c r="H59" s="116"/>
      <c r="I59" s="116"/>
      <c r="J59" s="133">
        <f>SUM(J58,J57)</f>
        <v>5</v>
      </c>
      <c r="K59" s="133"/>
      <c r="L59" s="133"/>
      <c r="M59" s="133"/>
      <c r="N59" s="132">
        <f>SUM(N57:Q58)</f>
        <v>36</v>
      </c>
      <c r="O59" s="119"/>
      <c r="P59" s="119"/>
      <c r="Q59" s="119"/>
      <c r="R59" s="130">
        <f>SUM(R57:U58)</f>
        <v>26</v>
      </c>
      <c r="S59" s="119"/>
      <c r="T59" s="119"/>
      <c r="U59" s="119"/>
      <c r="V59" s="130">
        <f>SUM(V57:Y58)</f>
        <v>68</v>
      </c>
      <c r="W59" s="119"/>
      <c r="X59" s="119"/>
      <c r="Y59" s="119"/>
      <c r="Z59" s="130">
        <f>SUM(Z57:AC58)</f>
        <v>9</v>
      </c>
      <c r="AA59" s="119"/>
      <c r="AB59" s="119"/>
      <c r="AC59" s="119"/>
      <c r="AD59" s="130">
        <f>SUM(AD57:AG58)</f>
        <v>27</v>
      </c>
      <c r="AE59" s="119"/>
      <c r="AF59" s="119"/>
      <c r="AG59" s="119"/>
      <c r="AH59" s="130">
        <f>SUM(AH57:AK58)</f>
        <v>13</v>
      </c>
      <c r="AI59" s="119"/>
      <c r="AJ59" s="119"/>
      <c r="AK59" s="119"/>
      <c r="AL59" s="130">
        <f>SUM(AL57:AN58)</f>
        <v>0</v>
      </c>
      <c r="AM59" s="119"/>
      <c r="AN59" s="119"/>
      <c r="AO59" s="130">
        <f>SUM(AO57:AR58)</f>
        <v>184</v>
      </c>
      <c r="AP59" s="119"/>
      <c r="AQ59" s="119"/>
      <c r="AR59" s="40"/>
      <c r="AS59" s="15"/>
    </row>
    <row r="60" spans="1:85" customHeight="1" ht="13.5">
      <c r="A60" s="4"/>
      <c r="B60" s="126" t="s">
        <v>38</v>
      </c>
      <c r="C60" s="105"/>
      <c r="D60" s="105"/>
      <c r="E60" s="100"/>
      <c r="F60" s="128" t="s">
        <v>34</v>
      </c>
      <c r="G60" s="95"/>
      <c r="H60" s="95"/>
      <c r="I60" s="96"/>
      <c r="J60" s="34"/>
      <c r="K60" s="35"/>
      <c r="L60" s="35"/>
      <c r="M60" s="54"/>
      <c r="N60" s="130">
        <v>20</v>
      </c>
      <c r="O60" s="119"/>
      <c r="P60" s="119"/>
      <c r="Q60" s="119"/>
      <c r="R60" s="130">
        <v>15</v>
      </c>
      <c r="S60" s="119"/>
      <c r="T60" s="119"/>
      <c r="U60" s="119"/>
      <c r="V60" s="130">
        <v>0</v>
      </c>
      <c r="W60" s="119"/>
      <c r="X60" s="119"/>
      <c r="Y60" s="119"/>
      <c r="Z60" s="130">
        <v>0</v>
      </c>
      <c r="AA60" s="119"/>
      <c r="AB60" s="119"/>
      <c r="AC60" s="119"/>
      <c r="AD60" s="130">
        <v>0</v>
      </c>
      <c r="AE60" s="119"/>
      <c r="AF60" s="119"/>
      <c r="AG60" s="119"/>
      <c r="AH60" s="130">
        <v>0</v>
      </c>
      <c r="AI60" s="119"/>
      <c r="AJ60" s="119"/>
      <c r="AK60" s="119"/>
      <c r="AL60" s="130">
        <v>0</v>
      </c>
      <c r="AM60" s="119"/>
      <c r="AN60" s="119"/>
      <c r="AO60" s="130">
        <f>SUM(J60:AK60)</f>
        <v>35</v>
      </c>
      <c r="AP60" s="119"/>
      <c r="AQ60" s="119"/>
      <c r="AR60" s="40"/>
      <c r="AS60" s="15"/>
    </row>
    <row r="61" spans="1:85" customHeight="1" ht="13.5">
      <c r="A61" s="4"/>
      <c r="B61" s="127"/>
      <c r="C61" s="105"/>
      <c r="D61" s="105"/>
      <c r="E61" s="100"/>
      <c r="F61" s="131" t="s">
        <v>35</v>
      </c>
      <c r="G61" s="116"/>
      <c r="H61" s="116"/>
      <c r="I61" s="117"/>
      <c r="J61" s="34"/>
      <c r="K61" s="35"/>
      <c r="L61" s="35"/>
      <c r="M61" s="54"/>
      <c r="N61" s="130">
        <v>29</v>
      </c>
      <c r="O61" s="119"/>
      <c r="P61" s="119"/>
      <c r="Q61" s="119"/>
      <c r="R61" s="130">
        <v>22</v>
      </c>
      <c r="S61" s="119"/>
      <c r="T61" s="119"/>
      <c r="U61" s="119"/>
      <c r="V61" s="130">
        <v>0</v>
      </c>
      <c r="W61" s="119"/>
      <c r="X61" s="119"/>
      <c r="Y61" s="119"/>
      <c r="Z61" s="130">
        <v>0</v>
      </c>
      <c r="AA61" s="119"/>
      <c r="AB61" s="119"/>
      <c r="AC61" s="119"/>
      <c r="AD61" s="130">
        <v>0</v>
      </c>
      <c r="AE61" s="119"/>
      <c r="AF61" s="119"/>
      <c r="AG61" s="119"/>
      <c r="AH61" s="130">
        <v>0</v>
      </c>
      <c r="AI61" s="119"/>
      <c r="AJ61" s="119"/>
      <c r="AK61" s="119"/>
      <c r="AL61" s="130">
        <v>0</v>
      </c>
      <c r="AM61" s="119"/>
      <c r="AN61" s="119"/>
      <c r="AO61" s="130">
        <f>SUM(J61:AK61)</f>
        <v>51</v>
      </c>
      <c r="AP61" s="119"/>
      <c r="AQ61" s="119"/>
      <c r="AR61" s="40"/>
      <c r="AS61" s="15"/>
    </row>
    <row r="62" spans="1:85" customHeight="1" ht="13.5">
      <c r="A62" s="4"/>
      <c r="B62" s="115"/>
      <c r="C62" s="116"/>
      <c r="D62" s="116"/>
      <c r="E62" s="117"/>
      <c r="F62" s="131" t="s">
        <v>36</v>
      </c>
      <c r="G62" s="116"/>
      <c r="H62" s="116"/>
      <c r="I62" s="117"/>
      <c r="J62" s="34"/>
      <c r="K62" s="35"/>
      <c r="L62" s="35"/>
      <c r="M62" s="54"/>
      <c r="N62" s="130">
        <f>SUM(N60:Q61)</f>
        <v>49</v>
      </c>
      <c r="O62" s="119"/>
      <c r="P62" s="119"/>
      <c r="Q62" s="119"/>
      <c r="R62" s="130">
        <f>SUM(R60:U61)</f>
        <v>37</v>
      </c>
      <c r="S62" s="119"/>
      <c r="T62" s="119"/>
      <c r="U62" s="119"/>
      <c r="V62" s="130">
        <f>SUM(V60:Y61)</f>
        <v>0</v>
      </c>
      <c r="W62" s="119"/>
      <c r="X62" s="119"/>
      <c r="Y62" s="119"/>
      <c r="Z62" s="130">
        <f>SUM(Z60:AC61)</f>
        <v>0</v>
      </c>
      <c r="AA62" s="119"/>
      <c r="AB62" s="119"/>
      <c r="AC62" s="119"/>
      <c r="AD62" s="130">
        <f>SUM(AD60:AG61)</f>
        <v>0</v>
      </c>
      <c r="AE62" s="119"/>
      <c r="AF62" s="119"/>
      <c r="AG62" s="119"/>
      <c r="AH62" s="130">
        <f>SUM(AH60:AK61)</f>
        <v>0</v>
      </c>
      <c r="AI62" s="119"/>
      <c r="AJ62" s="119"/>
      <c r="AK62" s="119"/>
      <c r="AL62" s="130">
        <f>SUM(AL60:AN61)</f>
        <v>0</v>
      </c>
      <c r="AM62" s="119"/>
      <c r="AN62" s="119"/>
      <c r="AO62" s="130">
        <f>SUM(AO60:AR61)</f>
        <v>86</v>
      </c>
      <c r="AP62" s="119"/>
      <c r="AQ62" s="119"/>
      <c r="AR62" s="40"/>
      <c r="AS62" s="15"/>
    </row>
    <row r="63" spans="1:85" customHeight="1" ht="13.5">
      <c r="A63" s="4"/>
      <c r="B63" s="126" t="s">
        <v>39</v>
      </c>
      <c r="C63" s="105"/>
      <c r="D63" s="105"/>
      <c r="E63" s="100"/>
      <c r="F63" s="128" t="s">
        <v>34</v>
      </c>
      <c r="G63" s="95"/>
      <c r="H63" s="95"/>
      <c r="I63" s="96"/>
      <c r="J63" s="34"/>
      <c r="K63" s="35"/>
      <c r="L63" s="35"/>
      <c r="M63" s="54"/>
      <c r="N63" s="130">
        <v>0</v>
      </c>
      <c r="O63" s="119"/>
      <c r="P63" s="119"/>
      <c r="Q63" s="119"/>
      <c r="R63" s="130">
        <v>1</v>
      </c>
      <c r="S63" s="119"/>
      <c r="T63" s="119"/>
      <c r="U63" s="119"/>
      <c r="V63" s="130">
        <v>0</v>
      </c>
      <c r="W63" s="119"/>
      <c r="X63" s="119"/>
      <c r="Y63" s="119"/>
      <c r="Z63" s="130">
        <v>0</v>
      </c>
      <c r="AA63" s="119"/>
      <c r="AB63" s="119"/>
      <c r="AC63" s="119"/>
      <c r="AD63" s="130">
        <v>0</v>
      </c>
      <c r="AE63" s="119"/>
      <c r="AF63" s="119"/>
      <c r="AG63" s="119"/>
      <c r="AH63" s="130">
        <v>0</v>
      </c>
      <c r="AI63" s="119"/>
      <c r="AJ63" s="119"/>
      <c r="AK63" s="119"/>
      <c r="AL63" s="130">
        <v>0</v>
      </c>
      <c r="AM63" s="119"/>
      <c r="AN63" s="119"/>
      <c r="AO63" s="130">
        <f>SUM(J63:AK63)</f>
        <v>1</v>
      </c>
      <c r="AP63" s="119"/>
      <c r="AQ63" s="119"/>
      <c r="AR63" s="40"/>
      <c r="AS63" s="15"/>
    </row>
    <row r="64" spans="1:85" customHeight="1" ht="13.5">
      <c r="A64" s="4"/>
      <c r="B64" s="127"/>
      <c r="C64" s="105"/>
      <c r="D64" s="105"/>
      <c r="E64" s="100"/>
      <c r="F64" s="131" t="s">
        <v>35</v>
      </c>
      <c r="G64" s="116"/>
      <c r="H64" s="116"/>
      <c r="I64" s="117"/>
      <c r="J64" s="34"/>
      <c r="K64" s="35"/>
      <c r="L64" s="35"/>
      <c r="M64" s="54"/>
      <c r="N64" s="130">
        <v>1</v>
      </c>
      <c r="O64" s="119"/>
      <c r="P64" s="119"/>
      <c r="Q64" s="119"/>
      <c r="R64" s="130">
        <v>2</v>
      </c>
      <c r="S64" s="119"/>
      <c r="T64" s="119"/>
      <c r="U64" s="119"/>
      <c r="V64" s="130">
        <v>0</v>
      </c>
      <c r="W64" s="119"/>
      <c r="X64" s="119"/>
      <c r="Y64" s="119"/>
      <c r="Z64" s="130">
        <v>0</v>
      </c>
      <c r="AA64" s="119"/>
      <c r="AB64" s="119"/>
      <c r="AC64" s="119"/>
      <c r="AD64" s="130">
        <v>0</v>
      </c>
      <c r="AE64" s="119"/>
      <c r="AF64" s="119"/>
      <c r="AG64" s="119"/>
      <c r="AH64" s="130">
        <v>0</v>
      </c>
      <c r="AI64" s="119"/>
      <c r="AJ64" s="119"/>
      <c r="AK64" s="119"/>
      <c r="AL64" s="130">
        <v>0</v>
      </c>
      <c r="AM64" s="119"/>
      <c r="AN64" s="119"/>
      <c r="AO64" s="130">
        <f>SUM(J64:AK64)</f>
        <v>3</v>
      </c>
      <c r="AP64" s="119"/>
      <c r="AQ64" s="119"/>
      <c r="AR64" s="40"/>
      <c r="AS64" s="15"/>
    </row>
    <row r="65" spans="1:85" customHeight="1" ht="13.5">
      <c r="A65" s="4"/>
      <c r="B65" s="115"/>
      <c r="C65" s="116"/>
      <c r="D65" s="116"/>
      <c r="E65" s="117"/>
      <c r="F65" s="131" t="s">
        <v>36</v>
      </c>
      <c r="G65" s="116"/>
      <c r="H65" s="116"/>
      <c r="I65" s="117"/>
      <c r="J65" s="34"/>
      <c r="K65" s="35"/>
      <c r="L65" s="35"/>
      <c r="M65" s="54"/>
      <c r="N65" s="130">
        <f>SUM(N63:Q64)</f>
        <v>1</v>
      </c>
      <c r="O65" s="119"/>
      <c r="P65" s="119"/>
      <c r="Q65" s="119"/>
      <c r="R65" s="130">
        <f>SUM(R63:U64)</f>
        <v>3</v>
      </c>
      <c r="S65" s="119"/>
      <c r="T65" s="119"/>
      <c r="U65" s="119"/>
      <c r="V65" s="130">
        <f>SUM(V63:Y64)</f>
        <v>0</v>
      </c>
      <c r="W65" s="119"/>
      <c r="X65" s="119"/>
      <c r="Y65" s="119"/>
      <c r="Z65" s="130">
        <f>SUM(Z63:AC64)</f>
        <v>0</v>
      </c>
      <c r="AA65" s="119"/>
      <c r="AB65" s="119"/>
      <c r="AC65" s="119"/>
      <c r="AD65" s="130">
        <f>SUM(AD63:AG64)</f>
        <v>0</v>
      </c>
      <c r="AE65" s="119"/>
      <c r="AF65" s="119"/>
      <c r="AG65" s="119"/>
      <c r="AH65" s="130">
        <f>SUM(AH63:AK64)</f>
        <v>0</v>
      </c>
      <c r="AI65" s="119"/>
      <c r="AJ65" s="119"/>
      <c r="AK65" s="119"/>
      <c r="AL65" s="130">
        <f>SUM(AL63:AN64)</f>
        <v>0</v>
      </c>
      <c r="AM65" s="119"/>
      <c r="AN65" s="119"/>
      <c r="AO65" s="130">
        <f>SUM(AO63:AR64)</f>
        <v>4</v>
      </c>
      <c r="AP65" s="119"/>
      <c r="AQ65" s="119"/>
      <c r="AR65" s="40"/>
      <c r="AS65" s="15"/>
    </row>
    <row r="66" spans="1:85" customHeight="1" ht="13.5">
      <c r="A66" s="4"/>
      <c r="B66" s="126" t="s">
        <v>40</v>
      </c>
      <c r="C66" s="105"/>
      <c r="D66" s="105"/>
      <c r="E66" s="100"/>
      <c r="F66" s="128" t="s">
        <v>34</v>
      </c>
      <c r="G66" s="95"/>
      <c r="H66" s="95"/>
      <c r="I66" s="96"/>
      <c r="J66" s="34"/>
      <c r="K66" s="35"/>
      <c r="L66" s="35"/>
      <c r="M66" s="54"/>
      <c r="N66" s="130">
        <v>0</v>
      </c>
      <c r="O66" s="119"/>
      <c r="P66" s="119"/>
      <c r="Q66" s="119"/>
      <c r="R66" s="130">
        <v>0</v>
      </c>
      <c r="S66" s="119"/>
      <c r="T66" s="119"/>
      <c r="U66" s="119"/>
      <c r="V66" s="130">
        <v>0</v>
      </c>
      <c r="W66" s="119"/>
      <c r="X66" s="119"/>
      <c r="Y66" s="119"/>
      <c r="Z66" s="130">
        <v>0</v>
      </c>
      <c r="AA66" s="119"/>
      <c r="AB66" s="119"/>
      <c r="AC66" s="119"/>
      <c r="AD66" s="130">
        <v>0</v>
      </c>
      <c r="AE66" s="119"/>
      <c r="AF66" s="119"/>
      <c r="AG66" s="119"/>
      <c r="AH66" s="130">
        <v>0</v>
      </c>
      <c r="AI66" s="119"/>
      <c r="AJ66" s="119"/>
      <c r="AK66" s="119"/>
      <c r="AL66" s="130">
        <v>0</v>
      </c>
      <c r="AM66" s="119"/>
      <c r="AN66" s="119"/>
      <c r="AO66" s="130">
        <f>SUM(J66:AK66)</f>
        <v>0</v>
      </c>
      <c r="AP66" s="119"/>
      <c r="AQ66" s="119"/>
      <c r="AR66" s="40"/>
      <c r="AS66" s="15"/>
    </row>
    <row r="67" spans="1:85" customHeight="1" ht="13.5">
      <c r="A67" s="4"/>
      <c r="B67" s="127"/>
      <c r="C67" s="105"/>
      <c r="D67" s="105"/>
      <c r="E67" s="100"/>
      <c r="F67" s="131" t="s">
        <v>35</v>
      </c>
      <c r="G67" s="116"/>
      <c r="H67" s="116"/>
      <c r="I67" s="117"/>
      <c r="J67" s="34"/>
      <c r="K67" s="35"/>
      <c r="L67" s="35"/>
      <c r="M67" s="54"/>
      <c r="N67" s="130">
        <v>0</v>
      </c>
      <c r="O67" s="119"/>
      <c r="P67" s="119"/>
      <c r="Q67" s="119"/>
      <c r="R67" s="130">
        <v>0</v>
      </c>
      <c r="S67" s="119"/>
      <c r="T67" s="119"/>
      <c r="U67" s="119"/>
      <c r="V67" s="130">
        <v>0</v>
      </c>
      <c r="W67" s="119"/>
      <c r="X67" s="119"/>
      <c r="Y67" s="119"/>
      <c r="Z67" s="130">
        <v>0</v>
      </c>
      <c r="AA67" s="119"/>
      <c r="AB67" s="119"/>
      <c r="AC67" s="119"/>
      <c r="AD67" s="130">
        <v>0</v>
      </c>
      <c r="AE67" s="119"/>
      <c r="AF67" s="119"/>
      <c r="AG67" s="119"/>
      <c r="AH67" s="130">
        <v>0</v>
      </c>
      <c r="AI67" s="119"/>
      <c r="AJ67" s="119"/>
      <c r="AK67" s="119"/>
      <c r="AL67" s="130">
        <v>0</v>
      </c>
      <c r="AM67" s="119"/>
      <c r="AN67" s="119"/>
      <c r="AO67" s="130">
        <f>SUM(J67:AK67)</f>
        <v>0</v>
      </c>
      <c r="AP67" s="119"/>
      <c r="AQ67" s="119"/>
      <c r="AR67" s="40"/>
      <c r="AS67" s="15"/>
    </row>
    <row r="68" spans="1:85" customHeight="1" ht="13.5">
      <c r="A68" s="4"/>
      <c r="B68" s="115"/>
      <c r="C68" s="116"/>
      <c r="D68" s="116"/>
      <c r="E68" s="117"/>
      <c r="F68" s="131" t="s">
        <v>36</v>
      </c>
      <c r="G68" s="116"/>
      <c r="H68" s="116"/>
      <c r="I68" s="117"/>
      <c r="J68" s="34"/>
      <c r="K68" s="35"/>
      <c r="L68" s="35"/>
      <c r="M68" s="54"/>
      <c r="N68" s="130">
        <f>SUM(N66:Q67)</f>
        <v>0</v>
      </c>
      <c r="O68" s="119"/>
      <c r="P68" s="119"/>
      <c r="Q68" s="119"/>
      <c r="R68" s="130">
        <f>SUM(R66:U67)</f>
        <v>0</v>
      </c>
      <c r="S68" s="119"/>
      <c r="T68" s="119"/>
      <c r="U68" s="119"/>
      <c r="V68" s="130">
        <f>SUM(V66:Y67)</f>
        <v>0</v>
      </c>
      <c r="W68" s="119"/>
      <c r="X68" s="119"/>
      <c r="Y68" s="119"/>
      <c r="Z68" s="130">
        <f>SUM(Z66:AC67)</f>
        <v>0</v>
      </c>
      <c r="AA68" s="119"/>
      <c r="AB68" s="119"/>
      <c r="AC68" s="119"/>
      <c r="AD68" s="130">
        <f>SUM(AD66:AG67)</f>
        <v>0</v>
      </c>
      <c r="AE68" s="119"/>
      <c r="AF68" s="119"/>
      <c r="AG68" s="119"/>
      <c r="AH68" s="130">
        <f>SUM(AH66:AK67)</f>
        <v>0</v>
      </c>
      <c r="AI68" s="119"/>
      <c r="AJ68" s="119"/>
      <c r="AK68" s="119"/>
      <c r="AL68" s="130">
        <f>SUM(AL66:AN67)</f>
        <v>0</v>
      </c>
      <c r="AM68" s="119"/>
      <c r="AN68" s="119"/>
      <c r="AO68" s="130">
        <f>SUM(AO66:AR67)</f>
        <v>0</v>
      </c>
      <c r="AP68" s="119"/>
      <c r="AQ68" s="119"/>
      <c r="AR68" s="40"/>
      <c r="AS68" s="15"/>
    </row>
    <row r="69" spans="1:85" customHeight="1" ht="13.5">
      <c r="A69" s="4"/>
      <c r="B69" s="126" t="s">
        <v>41</v>
      </c>
      <c r="C69" s="105"/>
      <c r="D69" s="105"/>
      <c r="E69" s="100"/>
      <c r="F69" s="128" t="s">
        <v>34</v>
      </c>
      <c r="G69" s="95"/>
      <c r="H69" s="95"/>
      <c r="I69" s="96"/>
      <c r="J69" s="34"/>
      <c r="K69" s="35"/>
      <c r="L69" s="35"/>
      <c r="M69" s="54"/>
      <c r="N69" s="130">
        <v>0</v>
      </c>
      <c r="O69" s="119"/>
      <c r="P69" s="119"/>
      <c r="Q69" s="119"/>
      <c r="R69" s="130">
        <v>0</v>
      </c>
      <c r="S69" s="119"/>
      <c r="T69" s="119"/>
      <c r="U69" s="119"/>
      <c r="V69" s="130">
        <v>0</v>
      </c>
      <c r="W69" s="119"/>
      <c r="X69" s="119"/>
      <c r="Y69" s="119"/>
      <c r="Z69" s="130">
        <v>0</v>
      </c>
      <c r="AA69" s="119"/>
      <c r="AB69" s="119"/>
      <c r="AC69" s="119"/>
      <c r="AD69" s="130">
        <v>0</v>
      </c>
      <c r="AE69" s="119"/>
      <c r="AF69" s="119"/>
      <c r="AG69" s="119"/>
      <c r="AH69" s="130">
        <v>0</v>
      </c>
      <c r="AI69" s="119"/>
      <c r="AJ69" s="119"/>
      <c r="AK69" s="119"/>
      <c r="AL69" s="130">
        <v>0</v>
      </c>
      <c r="AM69" s="119"/>
      <c r="AN69" s="119"/>
      <c r="AO69" s="130">
        <f>SUM(J69:AK69)</f>
        <v>0</v>
      </c>
      <c r="AP69" s="119"/>
      <c r="AQ69" s="119"/>
      <c r="AR69" s="40"/>
      <c r="AS69" s="15"/>
    </row>
    <row r="70" spans="1:85" customHeight="1" ht="13.5">
      <c r="A70" s="4"/>
      <c r="B70" s="127"/>
      <c r="C70" s="105"/>
      <c r="D70" s="105"/>
      <c r="E70" s="100"/>
      <c r="F70" s="131" t="s">
        <v>35</v>
      </c>
      <c r="G70" s="116"/>
      <c r="H70" s="116"/>
      <c r="I70" s="117"/>
      <c r="J70" s="34"/>
      <c r="K70" s="35"/>
      <c r="L70" s="35"/>
      <c r="M70" s="54"/>
      <c r="N70" s="130">
        <v>0</v>
      </c>
      <c r="O70" s="119"/>
      <c r="P70" s="119"/>
      <c r="Q70" s="119"/>
      <c r="R70" s="130">
        <v>0</v>
      </c>
      <c r="S70" s="119"/>
      <c r="T70" s="119"/>
      <c r="U70" s="119"/>
      <c r="V70" s="130">
        <v>0</v>
      </c>
      <c r="W70" s="119"/>
      <c r="X70" s="119"/>
      <c r="Y70" s="119"/>
      <c r="Z70" s="130">
        <v>0</v>
      </c>
      <c r="AA70" s="119"/>
      <c r="AB70" s="119"/>
      <c r="AC70" s="119"/>
      <c r="AD70" s="130">
        <v>0</v>
      </c>
      <c r="AE70" s="119"/>
      <c r="AF70" s="119"/>
      <c r="AG70" s="119"/>
      <c r="AH70" s="130">
        <v>0</v>
      </c>
      <c r="AI70" s="119"/>
      <c r="AJ70" s="119"/>
      <c r="AK70" s="119"/>
      <c r="AL70" s="130">
        <v>0</v>
      </c>
      <c r="AM70" s="119"/>
      <c r="AN70" s="119"/>
      <c r="AO70" s="130">
        <f>SUM(J70:AK70)</f>
        <v>0</v>
      </c>
      <c r="AP70" s="119"/>
      <c r="AQ70" s="119"/>
      <c r="AR70" s="40"/>
      <c r="AS70" s="15"/>
    </row>
    <row r="71" spans="1:85" customHeight="1" ht="13.5">
      <c r="A71" s="4"/>
      <c r="B71" s="115"/>
      <c r="C71" s="116"/>
      <c r="D71" s="116"/>
      <c r="E71" s="117"/>
      <c r="F71" s="131" t="s">
        <v>36</v>
      </c>
      <c r="G71" s="116"/>
      <c r="H71" s="116"/>
      <c r="I71" s="117"/>
      <c r="J71" s="34"/>
      <c r="K71" s="35"/>
      <c r="L71" s="35"/>
      <c r="M71" s="54"/>
      <c r="N71" s="130">
        <f>SUM(N69:Q70)</f>
        <v>0</v>
      </c>
      <c r="O71" s="119"/>
      <c r="P71" s="119"/>
      <c r="Q71" s="119"/>
      <c r="R71" s="130">
        <f>SUM(R69:U70)</f>
        <v>0</v>
      </c>
      <c r="S71" s="119"/>
      <c r="T71" s="119"/>
      <c r="U71" s="119"/>
      <c r="V71" s="130">
        <f>SUM(V69:Y70)</f>
        <v>0</v>
      </c>
      <c r="W71" s="119"/>
      <c r="X71" s="119"/>
      <c r="Y71" s="119"/>
      <c r="Z71" s="130">
        <f>SUM(Z69:AC70)</f>
        <v>0</v>
      </c>
      <c r="AA71" s="119"/>
      <c r="AB71" s="119"/>
      <c r="AC71" s="119"/>
      <c r="AD71" s="130">
        <f>SUM(AD69:AG70)</f>
        <v>0</v>
      </c>
      <c r="AE71" s="119"/>
      <c r="AF71" s="119"/>
      <c r="AG71" s="119"/>
      <c r="AH71" s="130">
        <f>SUM(AH69:AK70)</f>
        <v>0</v>
      </c>
      <c r="AI71" s="119"/>
      <c r="AJ71" s="119"/>
      <c r="AK71" s="119"/>
      <c r="AL71" s="130">
        <f>SUM(AL69:AN70)</f>
        <v>0</v>
      </c>
      <c r="AM71" s="119"/>
      <c r="AN71" s="119"/>
      <c r="AO71" s="130">
        <f>SUM(AO69:AR70)</f>
        <v>0</v>
      </c>
      <c r="AP71" s="119"/>
      <c r="AQ71" s="119"/>
      <c r="AR71" s="40"/>
      <c r="AS71" s="15"/>
    </row>
    <row r="72" spans="1:85" customHeight="1" ht="13.5">
      <c r="A72" s="4"/>
      <c r="B72" s="126" t="s">
        <v>42</v>
      </c>
      <c r="C72" s="105"/>
      <c r="D72" s="105"/>
      <c r="E72" s="100"/>
      <c r="F72" s="128" t="s">
        <v>34</v>
      </c>
      <c r="G72" s="95"/>
      <c r="H72" s="95"/>
      <c r="I72" s="96"/>
      <c r="J72" s="34"/>
      <c r="K72" s="35"/>
      <c r="L72" s="35"/>
      <c r="M72" s="54"/>
      <c r="N72" s="130">
        <v>0</v>
      </c>
      <c r="O72" s="119"/>
      <c r="P72" s="119"/>
      <c r="Q72" s="119"/>
      <c r="R72" s="130">
        <v>0</v>
      </c>
      <c r="S72" s="119"/>
      <c r="T72" s="119"/>
      <c r="U72" s="119"/>
      <c r="V72" s="130">
        <v>0</v>
      </c>
      <c r="W72" s="119"/>
      <c r="X72" s="119"/>
      <c r="Y72" s="119"/>
      <c r="Z72" s="130">
        <v>0</v>
      </c>
      <c r="AA72" s="119"/>
      <c r="AB72" s="119"/>
      <c r="AC72" s="119"/>
      <c r="AD72" s="130">
        <v>0</v>
      </c>
      <c r="AE72" s="119"/>
      <c r="AF72" s="119"/>
      <c r="AG72" s="119"/>
      <c r="AH72" s="130">
        <v>0</v>
      </c>
      <c r="AI72" s="119"/>
      <c r="AJ72" s="119"/>
      <c r="AK72" s="119"/>
      <c r="AL72" s="130">
        <v>0</v>
      </c>
      <c r="AM72" s="119"/>
      <c r="AN72" s="119"/>
      <c r="AO72" s="130">
        <f>SUM(J72:AK72)</f>
        <v>0</v>
      </c>
      <c r="AP72" s="119"/>
      <c r="AQ72" s="119"/>
      <c r="AR72" s="40"/>
      <c r="AS72" s="15"/>
    </row>
    <row r="73" spans="1:85" customHeight="1" ht="13.5">
      <c r="A73" s="4"/>
      <c r="B73" s="127"/>
      <c r="C73" s="105"/>
      <c r="D73" s="105"/>
      <c r="E73" s="100"/>
      <c r="F73" s="131" t="s">
        <v>35</v>
      </c>
      <c r="G73" s="116"/>
      <c r="H73" s="116"/>
      <c r="I73" s="117"/>
      <c r="J73" s="34"/>
      <c r="K73" s="35"/>
      <c r="L73" s="35"/>
      <c r="M73" s="54"/>
      <c r="N73" s="130">
        <v>0</v>
      </c>
      <c r="O73" s="119"/>
      <c r="P73" s="119"/>
      <c r="Q73" s="119"/>
      <c r="R73" s="130">
        <v>0</v>
      </c>
      <c r="S73" s="119"/>
      <c r="T73" s="119"/>
      <c r="U73" s="119"/>
      <c r="V73" s="130">
        <v>0</v>
      </c>
      <c r="W73" s="119"/>
      <c r="X73" s="119"/>
      <c r="Y73" s="119"/>
      <c r="Z73" s="130">
        <v>0</v>
      </c>
      <c r="AA73" s="119"/>
      <c r="AB73" s="119"/>
      <c r="AC73" s="119"/>
      <c r="AD73" s="130">
        <v>0</v>
      </c>
      <c r="AE73" s="119"/>
      <c r="AF73" s="119"/>
      <c r="AG73" s="119"/>
      <c r="AH73" s="130">
        <v>0</v>
      </c>
      <c r="AI73" s="119"/>
      <c r="AJ73" s="119"/>
      <c r="AK73" s="119"/>
      <c r="AL73" s="130">
        <v>0</v>
      </c>
      <c r="AM73" s="119"/>
      <c r="AN73" s="119"/>
      <c r="AO73" s="130">
        <f>SUM(J73:AK73)</f>
        <v>0</v>
      </c>
      <c r="AP73" s="119"/>
      <c r="AQ73" s="119"/>
      <c r="AR73" s="40"/>
      <c r="AS73" s="15"/>
    </row>
    <row r="74" spans="1:85" customHeight="1" ht="13.5">
      <c r="A74" s="4"/>
      <c r="B74" s="115"/>
      <c r="C74" s="116"/>
      <c r="D74" s="116"/>
      <c r="E74" s="117"/>
      <c r="F74" s="131" t="s">
        <v>36</v>
      </c>
      <c r="G74" s="116"/>
      <c r="H74" s="116"/>
      <c r="I74" s="117"/>
      <c r="J74" s="34"/>
      <c r="K74" s="35"/>
      <c r="L74" s="35"/>
      <c r="M74" s="54"/>
      <c r="N74" s="130">
        <f>SUM(N72:Q73)</f>
        <v>0</v>
      </c>
      <c r="O74" s="119"/>
      <c r="P74" s="119"/>
      <c r="Q74" s="119"/>
      <c r="R74" s="130">
        <f>SUM(R72:U73)</f>
        <v>0</v>
      </c>
      <c r="S74" s="119"/>
      <c r="T74" s="119"/>
      <c r="U74" s="119"/>
      <c r="V74" s="130">
        <f>SUM(V72:Y73)</f>
        <v>0</v>
      </c>
      <c r="W74" s="119"/>
      <c r="X74" s="119"/>
      <c r="Y74" s="119"/>
      <c r="Z74" s="130">
        <f>SUM(Z72:AC73)</f>
        <v>0</v>
      </c>
      <c r="AA74" s="119"/>
      <c r="AB74" s="119"/>
      <c r="AC74" s="119"/>
      <c r="AD74" s="130">
        <f>SUM(AD72:AG73)</f>
        <v>0</v>
      </c>
      <c r="AE74" s="119"/>
      <c r="AF74" s="119"/>
      <c r="AG74" s="119"/>
      <c r="AH74" s="130">
        <f>SUM(AH72:AK73)</f>
        <v>0</v>
      </c>
      <c r="AI74" s="119"/>
      <c r="AJ74" s="119"/>
      <c r="AK74" s="119"/>
      <c r="AL74" s="130">
        <f>SUM(AL72:AN73)</f>
        <v>0</v>
      </c>
      <c r="AM74" s="119"/>
      <c r="AN74" s="119"/>
      <c r="AO74" s="130">
        <f>SUM(AO72:AR73)</f>
        <v>0</v>
      </c>
      <c r="AP74" s="119"/>
      <c r="AQ74" s="119"/>
      <c r="AR74" s="40"/>
      <c r="AS74" s="15"/>
    </row>
    <row r="75" spans="1:85" customHeight="1" ht="13.5">
      <c r="A75" s="4"/>
      <c r="B75" s="126" t="s">
        <v>43</v>
      </c>
      <c r="C75" s="105"/>
      <c r="D75" s="105"/>
      <c r="E75" s="100"/>
      <c r="F75" s="128" t="s">
        <v>34</v>
      </c>
      <c r="G75" s="95"/>
      <c r="H75" s="95"/>
      <c r="I75" s="96"/>
      <c r="J75" s="34"/>
      <c r="K75" s="35"/>
      <c r="L75" s="35"/>
      <c r="M75" s="54"/>
      <c r="N75" s="130">
        <v>0</v>
      </c>
      <c r="O75" s="119"/>
      <c r="P75" s="119"/>
      <c r="Q75" s="119"/>
      <c r="R75" s="130">
        <v>0</v>
      </c>
      <c r="S75" s="119"/>
      <c r="T75" s="119"/>
      <c r="U75" s="119"/>
      <c r="V75" s="130">
        <v>0</v>
      </c>
      <c r="W75" s="119"/>
      <c r="X75" s="119"/>
      <c r="Y75" s="119"/>
      <c r="Z75" s="130">
        <v>0</v>
      </c>
      <c r="AA75" s="119"/>
      <c r="AB75" s="119"/>
      <c r="AC75" s="119"/>
      <c r="AD75" s="130">
        <v>0</v>
      </c>
      <c r="AE75" s="119"/>
      <c r="AF75" s="119"/>
      <c r="AG75" s="119"/>
      <c r="AH75" s="130">
        <v>0</v>
      </c>
      <c r="AI75" s="119"/>
      <c r="AJ75" s="119"/>
      <c r="AK75" s="119"/>
      <c r="AL75" s="130">
        <v>0</v>
      </c>
      <c r="AM75" s="119"/>
      <c r="AN75" s="119"/>
      <c r="AO75" s="130">
        <f>SUM(J75:AK75)</f>
        <v>0</v>
      </c>
      <c r="AP75" s="119"/>
      <c r="AQ75" s="119"/>
      <c r="AR75" s="40"/>
      <c r="AS75" s="15"/>
    </row>
    <row r="76" spans="1:85" customHeight="1" ht="13.5">
      <c r="A76" s="4"/>
      <c r="B76" s="127"/>
      <c r="C76" s="105"/>
      <c r="D76" s="105"/>
      <c r="E76" s="100"/>
      <c r="F76" s="131" t="s">
        <v>35</v>
      </c>
      <c r="G76" s="116"/>
      <c r="H76" s="116"/>
      <c r="I76" s="117"/>
      <c r="J76" s="34"/>
      <c r="K76" s="35"/>
      <c r="L76" s="35"/>
      <c r="M76" s="54"/>
      <c r="N76" s="130">
        <v>0</v>
      </c>
      <c r="O76" s="119"/>
      <c r="P76" s="119"/>
      <c r="Q76" s="119"/>
      <c r="R76" s="130">
        <v>0</v>
      </c>
      <c r="S76" s="119"/>
      <c r="T76" s="119"/>
      <c r="U76" s="119"/>
      <c r="V76" s="130">
        <v>0</v>
      </c>
      <c r="W76" s="119"/>
      <c r="X76" s="119"/>
      <c r="Y76" s="119"/>
      <c r="Z76" s="130">
        <v>0</v>
      </c>
      <c r="AA76" s="119"/>
      <c r="AB76" s="119"/>
      <c r="AC76" s="119"/>
      <c r="AD76" s="130">
        <v>0</v>
      </c>
      <c r="AE76" s="119"/>
      <c r="AF76" s="119"/>
      <c r="AG76" s="119"/>
      <c r="AH76" s="130">
        <v>0</v>
      </c>
      <c r="AI76" s="119"/>
      <c r="AJ76" s="119"/>
      <c r="AK76" s="119"/>
      <c r="AL76" s="130">
        <v>0</v>
      </c>
      <c r="AM76" s="119"/>
      <c r="AN76" s="119"/>
      <c r="AO76" s="130">
        <f>SUM(J76:AK76)</f>
        <v>0</v>
      </c>
      <c r="AP76" s="119"/>
      <c r="AQ76" s="119"/>
      <c r="AR76" s="40"/>
      <c r="AS76" s="15"/>
    </row>
    <row r="77" spans="1:85" customHeight="1" ht="13.5">
      <c r="A77" s="4"/>
      <c r="B77" s="115"/>
      <c r="C77" s="116"/>
      <c r="D77" s="116"/>
      <c r="E77" s="117"/>
      <c r="F77" s="131" t="s">
        <v>36</v>
      </c>
      <c r="G77" s="116"/>
      <c r="H77" s="116"/>
      <c r="I77" s="117"/>
      <c r="J77" s="34"/>
      <c r="K77" s="35"/>
      <c r="L77" s="35"/>
      <c r="M77" s="54"/>
      <c r="N77" s="130">
        <f>SUM(N75:Q76)</f>
        <v>0</v>
      </c>
      <c r="O77" s="119"/>
      <c r="P77" s="119"/>
      <c r="Q77" s="119"/>
      <c r="R77" s="130">
        <f>SUM(R75:U76)</f>
        <v>0</v>
      </c>
      <c r="S77" s="119"/>
      <c r="T77" s="119"/>
      <c r="U77" s="119"/>
      <c r="V77" s="130">
        <f>SUM(V75:Y76)</f>
        <v>0</v>
      </c>
      <c r="W77" s="119"/>
      <c r="X77" s="119"/>
      <c r="Y77" s="119"/>
      <c r="Z77" s="130">
        <f>SUM(Z75:AC76)</f>
        <v>0</v>
      </c>
      <c r="AA77" s="119"/>
      <c r="AB77" s="119"/>
      <c r="AC77" s="119"/>
      <c r="AD77" s="130">
        <f>SUM(AD75:AG76)</f>
        <v>0</v>
      </c>
      <c r="AE77" s="119"/>
      <c r="AF77" s="119"/>
      <c r="AG77" s="119"/>
      <c r="AH77" s="130">
        <f>SUM(AH75:AK76)</f>
        <v>0</v>
      </c>
      <c r="AI77" s="119"/>
      <c r="AJ77" s="119"/>
      <c r="AK77" s="119"/>
      <c r="AL77" s="130">
        <f>SUM(AL75:AN76)</f>
        <v>0</v>
      </c>
      <c r="AM77" s="119"/>
      <c r="AN77" s="119"/>
      <c r="AO77" s="130">
        <f>SUM(AO75:AR76)</f>
        <v>0</v>
      </c>
      <c r="AP77" s="119"/>
      <c r="AQ77" s="119"/>
      <c r="AR77" s="40"/>
      <c r="AS77" s="15"/>
    </row>
    <row r="78" spans="1:85" customHeight="1" ht="13.5">
      <c r="A78" s="4"/>
      <c r="B78" s="126" t="s">
        <v>44</v>
      </c>
      <c r="C78" s="105"/>
      <c r="D78" s="105"/>
      <c r="E78" s="100"/>
      <c r="F78" s="128" t="s">
        <v>34</v>
      </c>
      <c r="G78" s="95"/>
      <c r="H78" s="95"/>
      <c r="I78" s="96"/>
      <c r="J78" s="34"/>
      <c r="K78" s="35"/>
      <c r="L78" s="35"/>
      <c r="M78" s="54"/>
      <c r="N78" s="130">
        <v>0</v>
      </c>
      <c r="O78" s="119"/>
      <c r="P78" s="119"/>
      <c r="Q78" s="119"/>
      <c r="R78" s="130">
        <v>0</v>
      </c>
      <c r="S78" s="119"/>
      <c r="T78" s="119"/>
      <c r="U78" s="119"/>
      <c r="V78" s="130">
        <v>0</v>
      </c>
      <c r="W78" s="119"/>
      <c r="X78" s="119"/>
      <c r="Y78" s="119"/>
      <c r="Z78" s="130">
        <v>0</v>
      </c>
      <c r="AA78" s="119"/>
      <c r="AB78" s="119"/>
      <c r="AC78" s="119"/>
      <c r="AD78" s="130">
        <v>0</v>
      </c>
      <c r="AE78" s="119"/>
      <c r="AF78" s="119"/>
      <c r="AG78" s="119"/>
      <c r="AH78" s="130">
        <v>0</v>
      </c>
      <c r="AI78" s="119"/>
      <c r="AJ78" s="119"/>
      <c r="AK78" s="119"/>
      <c r="AL78" s="130">
        <v>0</v>
      </c>
      <c r="AM78" s="119"/>
      <c r="AN78" s="119"/>
      <c r="AO78" s="130">
        <f>SUM(J78:AK78)</f>
        <v>0</v>
      </c>
      <c r="AP78" s="119"/>
      <c r="AQ78" s="119"/>
      <c r="AR78" s="40"/>
      <c r="AS78" s="15"/>
    </row>
    <row r="79" spans="1:85" customHeight="1" ht="13.5">
      <c r="A79" s="4"/>
      <c r="B79" s="127"/>
      <c r="C79" s="105"/>
      <c r="D79" s="105"/>
      <c r="E79" s="100"/>
      <c r="F79" s="131" t="s">
        <v>35</v>
      </c>
      <c r="G79" s="116"/>
      <c r="H79" s="116"/>
      <c r="I79" s="117"/>
      <c r="J79" s="34"/>
      <c r="K79" s="35"/>
      <c r="L79" s="35"/>
      <c r="M79" s="54"/>
      <c r="N79" s="130">
        <v>0</v>
      </c>
      <c r="O79" s="119"/>
      <c r="P79" s="119"/>
      <c r="Q79" s="119"/>
      <c r="R79" s="130">
        <v>0</v>
      </c>
      <c r="S79" s="119"/>
      <c r="T79" s="119"/>
      <c r="U79" s="119"/>
      <c r="V79" s="130">
        <v>0</v>
      </c>
      <c r="W79" s="119"/>
      <c r="X79" s="119"/>
      <c r="Y79" s="119"/>
      <c r="Z79" s="130">
        <v>0</v>
      </c>
      <c r="AA79" s="119"/>
      <c r="AB79" s="119"/>
      <c r="AC79" s="119"/>
      <c r="AD79" s="130">
        <v>0</v>
      </c>
      <c r="AE79" s="119"/>
      <c r="AF79" s="119"/>
      <c r="AG79" s="119"/>
      <c r="AH79" s="130">
        <v>0</v>
      </c>
      <c r="AI79" s="119"/>
      <c r="AJ79" s="119"/>
      <c r="AK79" s="119"/>
      <c r="AL79" s="130">
        <v>0</v>
      </c>
      <c r="AM79" s="119"/>
      <c r="AN79" s="119"/>
      <c r="AO79" s="130">
        <f>SUM(J79:AK79)</f>
        <v>0</v>
      </c>
      <c r="AP79" s="119"/>
      <c r="AQ79" s="119"/>
      <c r="AR79" s="40"/>
      <c r="AS79" s="15"/>
    </row>
    <row r="80" spans="1:85" customHeight="1" ht="13.5">
      <c r="A80" s="4"/>
      <c r="B80" s="115"/>
      <c r="C80" s="116"/>
      <c r="D80" s="116"/>
      <c r="E80" s="117"/>
      <c r="F80" s="131" t="s">
        <v>36</v>
      </c>
      <c r="G80" s="116"/>
      <c r="H80" s="116"/>
      <c r="I80" s="117"/>
      <c r="J80" s="34"/>
      <c r="K80" s="35"/>
      <c r="L80" s="35"/>
      <c r="M80" s="54"/>
      <c r="N80" s="130">
        <f>SUM(N78:Q79)</f>
        <v>0</v>
      </c>
      <c r="O80" s="119"/>
      <c r="P80" s="119"/>
      <c r="Q80" s="119"/>
      <c r="R80" s="130">
        <f>SUM(R78:U79)</f>
        <v>0</v>
      </c>
      <c r="S80" s="119"/>
      <c r="T80" s="119"/>
      <c r="U80" s="119"/>
      <c r="V80" s="130">
        <f>SUM(V78:Y79)</f>
        <v>0</v>
      </c>
      <c r="W80" s="119"/>
      <c r="X80" s="119"/>
      <c r="Y80" s="119"/>
      <c r="Z80" s="130">
        <f>SUM(Z78:AC79)</f>
        <v>0</v>
      </c>
      <c r="AA80" s="119"/>
      <c r="AB80" s="119"/>
      <c r="AC80" s="119"/>
      <c r="AD80" s="130">
        <f>SUM(AD78:AG79)</f>
        <v>0</v>
      </c>
      <c r="AE80" s="119"/>
      <c r="AF80" s="119"/>
      <c r="AG80" s="119"/>
      <c r="AH80" s="130">
        <f>SUM(AH78:AK79)</f>
        <v>0</v>
      </c>
      <c r="AI80" s="119"/>
      <c r="AJ80" s="119"/>
      <c r="AK80" s="119"/>
      <c r="AL80" s="130">
        <f>SUM(AL78:AN79)</f>
        <v>0</v>
      </c>
      <c r="AM80" s="119"/>
      <c r="AN80" s="119"/>
      <c r="AO80" s="130">
        <f>SUM(AO78:AR79)</f>
        <v>0</v>
      </c>
      <c r="AP80" s="119"/>
      <c r="AQ80" s="119"/>
      <c r="AR80" s="40"/>
      <c r="AS80" s="15"/>
    </row>
    <row r="81" spans="1:85" customHeight="1" ht="13.5">
      <c r="A81" s="4"/>
      <c r="B81" s="134" t="s">
        <v>45</v>
      </c>
      <c r="C81" s="91"/>
      <c r="D81" s="91"/>
      <c r="E81" s="93"/>
      <c r="F81" s="128" t="s">
        <v>34</v>
      </c>
      <c r="G81" s="95"/>
      <c r="H81" s="95"/>
      <c r="I81" s="96"/>
      <c r="J81" s="34"/>
      <c r="K81" s="35"/>
      <c r="L81" s="35"/>
      <c r="M81" s="54"/>
      <c r="N81" s="130">
        <f>SUM(N78,N75,N72,N69,N66,N63,N60,N57,N54)</f>
        <v>64</v>
      </c>
      <c r="O81" s="119"/>
      <c r="P81" s="119"/>
      <c r="Q81" s="119"/>
      <c r="R81" s="130">
        <f>SUM(R78,R75,R72,R69,R66,R63,R60,R57,R54)</f>
        <v>48</v>
      </c>
      <c r="S81" s="119"/>
      <c r="T81" s="119"/>
      <c r="U81" s="119"/>
      <c r="V81" s="130">
        <f>SUM(V78,V75,V72,V69,V66,V63,V60,V57,V54)</f>
        <v>63</v>
      </c>
      <c r="W81" s="119"/>
      <c r="X81" s="119"/>
      <c r="Y81" s="119"/>
      <c r="Z81" s="130">
        <f>SUM(Z78,Z75,Z72,Z69,Z66,Z63,Z60,Z57,Z54)</f>
        <v>4</v>
      </c>
      <c r="AA81" s="119"/>
      <c r="AB81" s="119"/>
      <c r="AC81" s="119"/>
      <c r="AD81" s="130">
        <f>SUM(AD78,AD75,AD72,AD69,AD66,AD63,AD60,AD57,AD54)</f>
        <v>12</v>
      </c>
      <c r="AE81" s="119"/>
      <c r="AF81" s="119"/>
      <c r="AG81" s="119"/>
      <c r="AH81" s="130">
        <f>SUM(AH78,AH75,AH72,AH69,AH66,AH63,AH60,AH57,AH54)</f>
        <v>5</v>
      </c>
      <c r="AI81" s="119"/>
      <c r="AJ81" s="119"/>
      <c r="AK81" s="119"/>
      <c r="AL81" s="130">
        <f>SUM(AL54,AL57,AL60,AL63,AL66,AL69,AL72,AL75,AL78)</f>
        <v>0</v>
      </c>
      <c r="AM81" s="119"/>
      <c r="AN81" s="119"/>
      <c r="AO81" s="130">
        <f>SUM(J81:AK81)</f>
        <v>196</v>
      </c>
      <c r="AP81" s="119"/>
      <c r="AQ81" s="119"/>
      <c r="AR81" s="40"/>
      <c r="AS81" s="15"/>
    </row>
    <row r="82" spans="1:85" customHeight="1" ht="13.5">
      <c r="A82" s="4"/>
      <c r="B82" s="127"/>
      <c r="C82" s="105"/>
      <c r="D82" s="105"/>
      <c r="E82" s="100"/>
      <c r="F82" s="131" t="s">
        <v>35</v>
      </c>
      <c r="G82" s="116"/>
      <c r="H82" s="116"/>
      <c r="I82" s="117"/>
      <c r="J82" s="34"/>
      <c r="K82" s="35"/>
      <c r="L82" s="35"/>
      <c r="M82" s="54"/>
      <c r="N82" s="130">
        <f>SUM(N79,N76,N73,N70,N67,N64,N61,N58,N55)</f>
        <v>63</v>
      </c>
      <c r="O82" s="119"/>
      <c r="P82" s="119"/>
      <c r="Q82" s="119"/>
      <c r="R82" s="130">
        <f>SUM(R79,R76,R73,R70,R67,R64,R61,R58,R55)</f>
        <v>55</v>
      </c>
      <c r="S82" s="119"/>
      <c r="T82" s="119"/>
      <c r="U82" s="119"/>
      <c r="V82" s="130">
        <f>SUM(V79,V76,V73,V70,V67,V64,V61,V58,V55)</f>
        <v>52</v>
      </c>
      <c r="W82" s="119"/>
      <c r="X82" s="119"/>
      <c r="Y82" s="119"/>
      <c r="Z82" s="130">
        <f>SUM(Z79,Z76,Z73,Z70,Z67,Z64,Z61,Z58,Z55)</f>
        <v>5</v>
      </c>
      <c r="AA82" s="119"/>
      <c r="AB82" s="119"/>
      <c r="AC82" s="119"/>
      <c r="AD82" s="130">
        <f>SUM(AD79,AD76,AD73,AD70,AD67,AD64,AD61,AD58,AD55)</f>
        <v>15</v>
      </c>
      <c r="AE82" s="119"/>
      <c r="AF82" s="119"/>
      <c r="AG82" s="119"/>
      <c r="AH82" s="130">
        <f>SUM(AH79,AH76,AH73,AH70,AH67,AH64,AH61,AH58,AH55)</f>
        <v>8</v>
      </c>
      <c r="AI82" s="119"/>
      <c r="AJ82" s="119"/>
      <c r="AK82" s="119"/>
      <c r="AL82" s="130">
        <f>SUM(AL55,AL58,AL61,AL64,AL67,AL70,AL73,AL76,AL79)</f>
        <v>0</v>
      </c>
      <c r="AM82" s="119"/>
      <c r="AN82" s="119"/>
      <c r="AO82" s="130">
        <f>SUM(J82:AK82)</f>
        <v>198</v>
      </c>
      <c r="AP82" s="119"/>
      <c r="AQ82" s="119"/>
      <c r="AR82" s="40"/>
      <c r="AS82" s="15"/>
    </row>
    <row r="83" spans="1:85" customHeight="1" ht="13.5">
      <c r="A83" s="4"/>
      <c r="B83" s="115"/>
      <c r="C83" s="116"/>
      <c r="D83" s="116"/>
      <c r="E83" s="117"/>
      <c r="F83" s="131" t="s">
        <v>36</v>
      </c>
      <c r="G83" s="116"/>
      <c r="H83" s="116"/>
      <c r="I83" s="117"/>
      <c r="J83" s="135">
        <f>SUM(J56,J59,J62,J65,J68,J71,J74,J77,J80)</f>
        <v>56</v>
      </c>
      <c r="K83" s="95"/>
      <c r="L83" s="95"/>
      <c r="M83" s="95"/>
      <c r="N83" s="130">
        <f>SUM(N56,N59,N62,N65,N68,N71,N74,N77,N80)</f>
        <v>127</v>
      </c>
      <c r="O83" s="119"/>
      <c r="P83" s="119"/>
      <c r="Q83" s="119"/>
      <c r="R83" s="130">
        <f>SUM(R56,R59,R62,R65,R68,R71,R74,R77,R80)</f>
        <v>103</v>
      </c>
      <c r="S83" s="119"/>
      <c r="T83" s="119"/>
      <c r="U83" s="119"/>
      <c r="V83" s="130">
        <f>SUM(V56,V59,V62,V65,V68,V71,V74,V77,V80)</f>
        <v>115</v>
      </c>
      <c r="W83" s="119"/>
      <c r="X83" s="119"/>
      <c r="Y83" s="119"/>
      <c r="Z83" s="130">
        <f>SUM(Z56,Z59,Z62,Z65,Z68,Z71,Z74,Z77,Z80)</f>
        <v>9</v>
      </c>
      <c r="AA83" s="119"/>
      <c r="AB83" s="119"/>
      <c r="AC83" s="119"/>
      <c r="AD83" s="130">
        <f>SUM(AD56,AD59,AD62,AD65,AD68,AD71,AD74,AD77,AD80)</f>
        <v>27</v>
      </c>
      <c r="AE83" s="119"/>
      <c r="AF83" s="119"/>
      <c r="AG83" s="119"/>
      <c r="AH83" s="130">
        <f>SUM(AH56,AH59,AH62,AH65,AH68,AH71,AH74,AH77,AH80)</f>
        <v>13</v>
      </c>
      <c r="AI83" s="119"/>
      <c r="AJ83" s="119"/>
      <c r="AK83" s="119"/>
      <c r="AL83" s="130">
        <f>SUM(AL56,AL59,AL62,AL65,AL68,AL71,AL74,AL77,AL80)</f>
        <v>0</v>
      </c>
      <c r="AM83" s="119"/>
      <c r="AN83" s="119"/>
      <c r="AO83" s="130">
        <f>SUM(AO56,AO59,AO62,AO65,AO68,AO71,AO74,AO77,AO80)</f>
        <v>450</v>
      </c>
      <c r="AP83" s="119"/>
      <c r="AQ83" s="119"/>
      <c r="AR83" s="40"/>
      <c r="AS83" s="15"/>
    </row>
    <row r="84" spans="1:85" customHeight="1" ht="13.5">
      <c r="A84" s="4"/>
      <c r="B84" s="16"/>
      <c r="C84" s="16"/>
      <c r="D84" s="16"/>
      <c r="E84" s="16"/>
      <c r="F84" s="16"/>
      <c r="G84" s="16"/>
      <c r="H84" s="16"/>
      <c r="I84" s="4"/>
      <c r="J84" s="4"/>
      <c r="K84" s="4"/>
      <c r="L84" s="4"/>
      <c r="M84" s="4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"/>
      <c r="AS84" s="4"/>
    </row>
    <row r="85" spans="1:85" customHeight="1" ht="13.5">
      <c r="A85" s="4"/>
      <c r="B85" s="137" t="s">
        <v>47</v>
      </c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  <c r="AE85" s="138"/>
      <c r="AF85" s="138"/>
      <c r="AG85" s="138"/>
      <c r="AH85" s="138"/>
      <c r="AI85" s="138"/>
      <c r="AJ85" s="138"/>
      <c r="AK85" s="138"/>
      <c r="AL85" s="138"/>
      <c r="AM85" s="138"/>
      <c r="AN85" s="138"/>
      <c r="AO85" s="138"/>
      <c r="AP85" s="138"/>
      <c r="AQ85" s="138"/>
      <c r="AR85" s="4"/>
      <c r="AS85" s="4"/>
    </row>
    <row r="86" spans="1:85" customHeight="1" ht="13.5">
      <c r="A86" s="4"/>
      <c r="B86" s="114" t="s">
        <v>22</v>
      </c>
      <c r="C86" s="91"/>
      <c r="D86" s="91"/>
      <c r="E86" s="93"/>
      <c r="F86" s="114" t="s">
        <v>23</v>
      </c>
      <c r="G86" s="91"/>
      <c r="H86" s="91"/>
      <c r="I86" s="93"/>
      <c r="J86" s="114" t="s">
        <v>24</v>
      </c>
      <c r="K86" s="91"/>
      <c r="L86" s="91"/>
      <c r="M86" s="91"/>
      <c r="N86" s="118" t="s">
        <v>25</v>
      </c>
      <c r="O86" s="119"/>
      <c r="P86" s="119"/>
      <c r="Q86" s="119"/>
      <c r="R86" s="118" t="s">
        <v>26</v>
      </c>
      <c r="S86" s="119"/>
      <c r="T86" s="119"/>
      <c r="U86" s="119"/>
      <c r="V86" s="118" t="s">
        <v>27</v>
      </c>
      <c r="W86" s="119"/>
      <c r="X86" s="119"/>
      <c r="Y86" s="119"/>
      <c r="Z86" s="120" t="s">
        <v>28</v>
      </c>
      <c r="AA86" s="119"/>
      <c r="AB86" s="119"/>
      <c r="AC86" s="119"/>
      <c r="AD86" s="118" t="s">
        <v>29</v>
      </c>
      <c r="AE86" s="119"/>
      <c r="AF86" s="119"/>
      <c r="AG86" s="119"/>
      <c r="AH86" s="118" t="s">
        <v>30</v>
      </c>
      <c r="AI86" s="119"/>
      <c r="AJ86" s="119"/>
      <c r="AK86" s="119"/>
      <c r="AL86" s="120" t="s">
        <v>31</v>
      </c>
      <c r="AM86" s="119"/>
      <c r="AN86" s="119"/>
      <c r="AO86" s="118" t="s">
        <v>32</v>
      </c>
      <c r="AP86" s="119"/>
      <c r="AQ86" s="119"/>
      <c r="AR86" s="55"/>
      <c r="AS86" s="14"/>
    </row>
    <row r="87" spans="1:85" customHeight="1" ht="17.25">
      <c r="A87" s="4"/>
      <c r="B87" s="115"/>
      <c r="C87" s="116"/>
      <c r="D87" s="116"/>
      <c r="E87" s="117"/>
      <c r="F87" s="115"/>
      <c r="G87" s="116"/>
      <c r="H87" s="116"/>
      <c r="I87" s="117"/>
      <c r="J87" s="115"/>
      <c r="K87" s="116"/>
      <c r="L87" s="116"/>
      <c r="M87" s="116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  <c r="AN87" s="119"/>
      <c r="AO87" s="119"/>
      <c r="AP87" s="119"/>
      <c r="AQ87" s="119"/>
      <c r="AR87" s="55"/>
      <c r="AS87" s="14"/>
    </row>
    <row r="88" spans="1:85" customHeight="1" ht="13.5">
      <c r="A88" s="4"/>
      <c r="B88" s="126" t="s">
        <v>33</v>
      </c>
      <c r="C88" s="105"/>
      <c r="D88" s="105"/>
      <c r="E88" s="100"/>
      <c r="F88" s="128" t="s">
        <v>34</v>
      </c>
      <c r="G88" s="95"/>
      <c r="H88" s="95"/>
      <c r="I88" s="96"/>
      <c r="J88" s="129"/>
      <c r="K88" s="91"/>
      <c r="L88" s="91"/>
      <c r="M88" s="91"/>
      <c r="N88" s="130"/>
      <c r="O88" s="119"/>
      <c r="P88" s="119"/>
      <c r="Q88" s="119"/>
      <c r="R88" s="130"/>
      <c r="S88" s="119"/>
      <c r="T88" s="119"/>
      <c r="U88" s="119"/>
      <c r="V88" s="130"/>
      <c r="W88" s="119"/>
      <c r="X88" s="119"/>
      <c r="Y88" s="119"/>
      <c r="Z88" s="130"/>
      <c r="AA88" s="119"/>
      <c r="AB88" s="119"/>
      <c r="AC88" s="119"/>
      <c r="AD88" s="130"/>
      <c r="AE88" s="119"/>
      <c r="AF88" s="119"/>
      <c r="AG88" s="119"/>
      <c r="AH88" s="130"/>
      <c r="AI88" s="119"/>
      <c r="AJ88" s="119"/>
      <c r="AK88" s="119"/>
      <c r="AL88" s="130"/>
      <c r="AM88" s="119"/>
      <c r="AN88" s="119"/>
      <c r="AO88" s="130">
        <f>SUM(J88:AK88)</f>
        <v>0</v>
      </c>
      <c r="AP88" s="119"/>
      <c r="AQ88" s="119"/>
      <c r="AR88" s="40"/>
      <c r="AS88" s="15"/>
    </row>
    <row r="89" spans="1:85" customHeight="1" ht="13.5">
      <c r="A89" s="4"/>
      <c r="B89" s="127"/>
      <c r="C89" s="105"/>
      <c r="D89" s="105"/>
      <c r="E89" s="100"/>
      <c r="F89" s="131" t="s">
        <v>35</v>
      </c>
      <c r="G89" s="116"/>
      <c r="H89" s="116"/>
      <c r="I89" s="117"/>
      <c r="J89" s="129"/>
      <c r="K89" s="91"/>
      <c r="L89" s="91"/>
      <c r="M89" s="91"/>
      <c r="N89" s="130"/>
      <c r="O89" s="119"/>
      <c r="P89" s="119"/>
      <c r="Q89" s="119"/>
      <c r="R89" s="130"/>
      <c r="S89" s="119"/>
      <c r="T89" s="119"/>
      <c r="U89" s="119"/>
      <c r="V89" s="130"/>
      <c r="W89" s="119"/>
      <c r="X89" s="119"/>
      <c r="Y89" s="119"/>
      <c r="Z89" s="130"/>
      <c r="AA89" s="119"/>
      <c r="AB89" s="119"/>
      <c r="AC89" s="119"/>
      <c r="AD89" s="130"/>
      <c r="AE89" s="119"/>
      <c r="AF89" s="119"/>
      <c r="AG89" s="119"/>
      <c r="AH89" s="130"/>
      <c r="AI89" s="119"/>
      <c r="AJ89" s="119"/>
      <c r="AK89" s="119"/>
      <c r="AL89" s="130"/>
      <c r="AM89" s="119"/>
      <c r="AN89" s="119"/>
      <c r="AO89" s="130">
        <f>SUM(J89:AK89)</f>
        <v>0</v>
      </c>
      <c r="AP89" s="119"/>
      <c r="AQ89" s="119"/>
      <c r="AR89" s="40"/>
      <c r="AS89" s="15"/>
    </row>
    <row r="90" spans="1:85" customHeight="1" ht="13.5">
      <c r="A90" s="4"/>
      <c r="B90" s="115"/>
      <c r="C90" s="116"/>
      <c r="D90" s="116"/>
      <c r="E90" s="117"/>
      <c r="F90" s="131" t="s">
        <v>36</v>
      </c>
      <c r="G90" s="116"/>
      <c r="H90" s="116"/>
      <c r="I90" s="117"/>
      <c r="J90" s="129">
        <f>SUM(J88:M89)</f>
        <v>0</v>
      </c>
      <c r="K90" s="91"/>
      <c r="L90" s="91"/>
      <c r="M90" s="91"/>
      <c r="N90" s="130">
        <f>SUM(N88:Q89)</f>
        <v>0</v>
      </c>
      <c r="O90" s="119"/>
      <c r="P90" s="119"/>
      <c r="Q90" s="119"/>
      <c r="R90" s="130">
        <f>SUM(R88:U89)</f>
        <v>0</v>
      </c>
      <c r="S90" s="119"/>
      <c r="T90" s="119"/>
      <c r="U90" s="119"/>
      <c r="V90" s="130">
        <f>SUM(V88:Y89)</f>
        <v>0</v>
      </c>
      <c r="W90" s="119"/>
      <c r="X90" s="119"/>
      <c r="Y90" s="119"/>
      <c r="Z90" s="130">
        <f>SUM(Z88:AC89)</f>
        <v>0</v>
      </c>
      <c r="AA90" s="119"/>
      <c r="AB90" s="119"/>
      <c r="AC90" s="119"/>
      <c r="AD90" s="130">
        <f>SUM(AD88:AG89)</f>
        <v>0</v>
      </c>
      <c r="AE90" s="119"/>
      <c r="AF90" s="119"/>
      <c r="AG90" s="119"/>
      <c r="AH90" s="130">
        <f>SUM(AH88:AK89)</f>
        <v>0</v>
      </c>
      <c r="AI90" s="119"/>
      <c r="AJ90" s="119"/>
      <c r="AK90" s="119"/>
      <c r="AL90" s="130">
        <f>SUM(AL88:AO89)</f>
        <v>0</v>
      </c>
      <c r="AM90" s="119"/>
      <c r="AN90" s="119"/>
      <c r="AO90" s="130">
        <f>SUM(AO88:AR89)</f>
        <v>0</v>
      </c>
      <c r="AP90" s="119"/>
      <c r="AQ90" s="119"/>
      <c r="AR90" s="40"/>
      <c r="AS90" s="15"/>
    </row>
    <row r="91" spans="1:85" customHeight="1" ht="13.5">
      <c r="A91" s="4"/>
      <c r="B91" s="126" t="s">
        <v>37</v>
      </c>
      <c r="C91" s="105"/>
      <c r="D91" s="105"/>
      <c r="E91" s="100"/>
      <c r="F91" s="128" t="s">
        <v>34</v>
      </c>
      <c r="G91" s="95"/>
      <c r="H91" s="95"/>
      <c r="I91" s="96"/>
      <c r="J91" s="136"/>
      <c r="K91" s="136"/>
      <c r="L91" s="136"/>
      <c r="M91" s="136"/>
      <c r="N91" s="130"/>
      <c r="O91" s="119"/>
      <c r="P91" s="119"/>
      <c r="Q91" s="119"/>
      <c r="R91" s="130"/>
      <c r="S91" s="119"/>
      <c r="T91" s="119"/>
      <c r="U91" s="119"/>
      <c r="V91" s="130"/>
      <c r="W91" s="119"/>
      <c r="X91" s="119"/>
      <c r="Y91" s="119"/>
      <c r="Z91" s="130"/>
      <c r="AA91" s="119"/>
      <c r="AB91" s="119"/>
      <c r="AC91" s="119"/>
      <c r="AD91" s="130"/>
      <c r="AE91" s="119"/>
      <c r="AF91" s="119"/>
      <c r="AG91" s="119"/>
      <c r="AH91" s="130"/>
      <c r="AI91" s="119"/>
      <c r="AJ91" s="119"/>
      <c r="AK91" s="119"/>
      <c r="AL91" s="130"/>
      <c r="AM91" s="119"/>
      <c r="AN91" s="119"/>
      <c r="AO91" s="130">
        <f>SUM(J91:AK91)</f>
        <v>0</v>
      </c>
      <c r="AP91" s="119"/>
      <c r="AQ91" s="119"/>
      <c r="AR91" s="40"/>
      <c r="AS91" s="15"/>
    </row>
    <row r="92" spans="1:85" customHeight="1" ht="13.5">
      <c r="A92" s="4"/>
      <c r="B92" s="127"/>
      <c r="C92" s="105"/>
      <c r="D92" s="105"/>
      <c r="E92" s="100"/>
      <c r="F92" s="131" t="s">
        <v>35</v>
      </c>
      <c r="G92" s="116"/>
      <c r="H92" s="116"/>
      <c r="I92" s="117"/>
      <c r="J92" s="136"/>
      <c r="K92" s="136"/>
      <c r="L92" s="136"/>
      <c r="M92" s="136"/>
      <c r="N92" s="130"/>
      <c r="O92" s="119"/>
      <c r="P92" s="119"/>
      <c r="Q92" s="119"/>
      <c r="R92" s="130"/>
      <c r="S92" s="119"/>
      <c r="T92" s="119"/>
      <c r="U92" s="119"/>
      <c r="V92" s="130"/>
      <c r="W92" s="119"/>
      <c r="X92" s="119"/>
      <c r="Y92" s="119"/>
      <c r="Z92" s="130"/>
      <c r="AA92" s="119"/>
      <c r="AB92" s="119"/>
      <c r="AC92" s="119"/>
      <c r="AD92" s="130"/>
      <c r="AE92" s="119"/>
      <c r="AF92" s="119"/>
      <c r="AG92" s="119"/>
      <c r="AH92" s="130"/>
      <c r="AI92" s="119"/>
      <c r="AJ92" s="119"/>
      <c r="AK92" s="119"/>
      <c r="AL92" s="130"/>
      <c r="AM92" s="119"/>
      <c r="AN92" s="119"/>
      <c r="AO92" s="130">
        <f>SUM(J92:AK92)</f>
        <v>0</v>
      </c>
      <c r="AP92" s="119"/>
      <c r="AQ92" s="119"/>
      <c r="AR92" s="40"/>
      <c r="AS92" s="15"/>
    </row>
    <row r="93" spans="1:85" customHeight="1" ht="13.5">
      <c r="A93" s="4"/>
      <c r="B93" s="115"/>
      <c r="C93" s="116"/>
      <c r="D93" s="116"/>
      <c r="E93" s="117"/>
      <c r="F93" s="131" t="s">
        <v>36</v>
      </c>
      <c r="G93" s="116"/>
      <c r="H93" s="116"/>
      <c r="I93" s="117"/>
      <c r="J93" s="133">
        <f>SUM(J92,J91)</f>
        <v>0</v>
      </c>
      <c r="K93" s="133"/>
      <c r="L93" s="133"/>
      <c r="M93" s="133"/>
      <c r="N93" s="130">
        <f>SUM(N91:Q92)</f>
        <v>0</v>
      </c>
      <c r="O93" s="119"/>
      <c r="P93" s="119"/>
      <c r="Q93" s="119"/>
      <c r="R93" s="130">
        <f>SUM(R91:U92)</f>
        <v>0</v>
      </c>
      <c r="S93" s="119"/>
      <c r="T93" s="119"/>
      <c r="U93" s="119"/>
      <c r="V93" s="130">
        <f>SUM(V91:Y92)</f>
        <v>0</v>
      </c>
      <c r="W93" s="119"/>
      <c r="X93" s="119"/>
      <c r="Y93" s="119"/>
      <c r="Z93" s="130">
        <f>SUM(Z91:AC92)</f>
        <v>0</v>
      </c>
      <c r="AA93" s="119"/>
      <c r="AB93" s="119"/>
      <c r="AC93" s="119"/>
      <c r="AD93" s="130">
        <f>SUM(AD91:AG92)</f>
        <v>0</v>
      </c>
      <c r="AE93" s="119"/>
      <c r="AF93" s="119"/>
      <c r="AG93" s="119"/>
      <c r="AH93" s="130">
        <f>SUM(AH91:AK92)</f>
        <v>0</v>
      </c>
      <c r="AI93" s="119"/>
      <c r="AJ93" s="119"/>
      <c r="AK93" s="119"/>
      <c r="AL93" s="130">
        <f>SUM(AL91:AO92)</f>
        <v>0</v>
      </c>
      <c r="AM93" s="119"/>
      <c r="AN93" s="119"/>
      <c r="AO93" s="130">
        <f>SUM(AO91:AR92)</f>
        <v>0</v>
      </c>
      <c r="AP93" s="119"/>
      <c r="AQ93" s="119"/>
      <c r="AR93" s="40"/>
      <c r="AS93" s="15"/>
    </row>
    <row r="94" spans="1:85" customHeight="1" ht="13.5">
      <c r="A94" s="4"/>
      <c r="B94" s="126" t="s">
        <v>38</v>
      </c>
      <c r="C94" s="105"/>
      <c r="D94" s="105"/>
      <c r="E94" s="100"/>
      <c r="F94" s="128" t="s">
        <v>34</v>
      </c>
      <c r="G94" s="95"/>
      <c r="H94" s="95"/>
      <c r="I94" s="96"/>
      <c r="J94" s="34"/>
      <c r="K94" s="35"/>
      <c r="L94" s="35"/>
      <c r="M94" s="54"/>
      <c r="N94" s="130"/>
      <c r="O94" s="119"/>
      <c r="P94" s="119"/>
      <c r="Q94" s="119"/>
      <c r="R94" s="130"/>
      <c r="S94" s="119"/>
      <c r="T94" s="119"/>
      <c r="U94" s="119"/>
      <c r="V94" s="130"/>
      <c r="W94" s="119"/>
      <c r="X94" s="119"/>
      <c r="Y94" s="119"/>
      <c r="Z94" s="130"/>
      <c r="AA94" s="119"/>
      <c r="AB94" s="119"/>
      <c r="AC94" s="119"/>
      <c r="AD94" s="130"/>
      <c r="AE94" s="119"/>
      <c r="AF94" s="119"/>
      <c r="AG94" s="119"/>
      <c r="AH94" s="130"/>
      <c r="AI94" s="119"/>
      <c r="AJ94" s="119"/>
      <c r="AK94" s="119"/>
      <c r="AL94" s="130"/>
      <c r="AM94" s="119"/>
      <c r="AN94" s="119"/>
      <c r="AO94" s="130">
        <f>SUM(J94:AK94)</f>
        <v>0</v>
      </c>
      <c r="AP94" s="119"/>
      <c r="AQ94" s="119"/>
      <c r="AR94" s="40"/>
      <c r="AS94" s="15"/>
    </row>
    <row r="95" spans="1:85" customHeight="1" ht="13.5">
      <c r="A95" s="4"/>
      <c r="B95" s="127"/>
      <c r="C95" s="105"/>
      <c r="D95" s="105"/>
      <c r="E95" s="100"/>
      <c r="F95" s="131" t="s">
        <v>35</v>
      </c>
      <c r="G95" s="116"/>
      <c r="H95" s="116"/>
      <c r="I95" s="117"/>
      <c r="J95" s="34"/>
      <c r="K95" s="35"/>
      <c r="L95" s="35"/>
      <c r="M95" s="54"/>
      <c r="N95" s="130"/>
      <c r="O95" s="119"/>
      <c r="P95" s="119"/>
      <c r="Q95" s="119"/>
      <c r="R95" s="130"/>
      <c r="S95" s="119"/>
      <c r="T95" s="119"/>
      <c r="U95" s="119"/>
      <c r="V95" s="130"/>
      <c r="W95" s="119"/>
      <c r="X95" s="119"/>
      <c r="Y95" s="119"/>
      <c r="Z95" s="130"/>
      <c r="AA95" s="119"/>
      <c r="AB95" s="119"/>
      <c r="AC95" s="119"/>
      <c r="AD95" s="130"/>
      <c r="AE95" s="119"/>
      <c r="AF95" s="119"/>
      <c r="AG95" s="119"/>
      <c r="AH95" s="130"/>
      <c r="AI95" s="119"/>
      <c r="AJ95" s="119"/>
      <c r="AK95" s="119"/>
      <c r="AL95" s="130"/>
      <c r="AM95" s="119"/>
      <c r="AN95" s="119"/>
      <c r="AO95" s="130">
        <f>SUM(J95:AK95)</f>
        <v>0</v>
      </c>
      <c r="AP95" s="119"/>
      <c r="AQ95" s="119"/>
      <c r="AR95" s="40"/>
      <c r="AS95" s="15"/>
    </row>
    <row r="96" spans="1:85" customHeight="1" ht="13.5">
      <c r="A96" s="4"/>
      <c r="B96" s="115"/>
      <c r="C96" s="116"/>
      <c r="D96" s="116"/>
      <c r="E96" s="117"/>
      <c r="F96" s="131" t="s">
        <v>36</v>
      </c>
      <c r="G96" s="116"/>
      <c r="H96" s="116"/>
      <c r="I96" s="117"/>
      <c r="J96" s="34"/>
      <c r="K96" s="35"/>
      <c r="L96" s="35"/>
      <c r="M96" s="54"/>
      <c r="N96" s="130">
        <f>SUM(N94:Q95)</f>
        <v>0</v>
      </c>
      <c r="O96" s="119"/>
      <c r="P96" s="119"/>
      <c r="Q96" s="119"/>
      <c r="R96" s="130">
        <f>SUM(R94:U95)</f>
        <v>0</v>
      </c>
      <c r="S96" s="119"/>
      <c r="T96" s="119"/>
      <c r="U96" s="119"/>
      <c r="V96" s="130">
        <f>SUM(V94:Y95)</f>
        <v>0</v>
      </c>
      <c r="W96" s="119"/>
      <c r="X96" s="119"/>
      <c r="Y96" s="119"/>
      <c r="Z96" s="130">
        <f>SUM(Z94:AC95)</f>
        <v>0</v>
      </c>
      <c r="AA96" s="119"/>
      <c r="AB96" s="119"/>
      <c r="AC96" s="119"/>
      <c r="AD96" s="130">
        <f>SUM(AD94:AG95)</f>
        <v>0</v>
      </c>
      <c r="AE96" s="119"/>
      <c r="AF96" s="119"/>
      <c r="AG96" s="119"/>
      <c r="AH96" s="130">
        <f>SUM(AH94:AK95)</f>
        <v>0</v>
      </c>
      <c r="AI96" s="119"/>
      <c r="AJ96" s="119"/>
      <c r="AK96" s="119"/>
      <c r="AL96" s="130">
        <f>SUM(AL94:AO95)</f>
        <v>0</v>
      </c>
      <c r="AM96" s="119"/>
      <c r="AN96" s="119"/>
      <c r="AO96" s="130">
        <f>SUM(AO94:AR95)</f>
        <v>0</v>
      </c>
      <c r="AP96" s="119"/>
      <c r="AQ96" s="119"/>
      <c r="AR96" s="40"/>
      <c r="AS96" s="15"/>
    </row>
    <row r="97" spans="1:85" customHeight="1" ht="13.5">
      <c r="A97" s="4"/>
      <c r="B97" s="126" t="s">
        <v>39</v>
      </c>
      <c r="C97" s="105"/>
      <c r="D97" s="105"/>
      <c r="E97" s="100"/>
      <c r="F97" s="128" t="s">
        <v>34</v>
      </c>
      <c r="G97" s="95"/>
      <c r="H97" s="95"/>
      <c r="I97" s="96"/>
      <c r="J97" s="34"/>
      <c r="K97" s="35"/>
      <c r="L97" s="35"/>
      <c r="M97" s="54"/>
      <c r="N97" s="130"/>
      <c r="O97" s="119"/>
      <c r="P97" s="119"/>
      <c r="Q97" s="119"/>
      <c r="R97" s="130"/>
      <c r="S97" s="119"/>
      <c r="T97" s="119"/>
      <c r="U97" s="119"/>
      <c r="V97" s="130"/>
      <c r="W97" s="119"/>
      <c r="X97" s="119"/>
      <c r="Y97" s="119"/>
      <c r="Z97" s="130"/>
      <c r="AA97" s="119"/>
      <c r="AB97" s="119"/>
      <c r="AC97" s="119"/>
      <c r="AD97" s="130"/>
      <c r="AE97" s="119"/>
      <c r="AF97" s="119"/>
      <c r="AG97" s="119"/>
      <c r="AH97" s="130"/>
      <c r="AI97" s="119"/>
      <c r="AJ97" s="119"/>
      <c r="AK97" s="119"/>
      <c r="AL97" s="130"/>
      <c r="AM97" s="119"/>
      <c r="AN97" s="119"/>
      <c r="AO97" s="130">
        <f>SUM(J97:AK97)</f>
        <v>0</v>
      </c>
      <c r="AP97" s="119"/>
      <c r="AQ97" s="119"/>
      <c r="AR97" s="40"/>
      <c r="AS97" s="15"/>
    </row>
    <row r="98" spans="1:85" customHeight="1" ht="13.5">
      <c r="A98" s="4"/>
      <c r="B98" s="127"/>
      <c r="C98" s="105"/>
      <c r="D98" s="105"/>
      <c r="E98" s="100"/>
      <c r="F98" s="131" t="s">
        <v>35</v>
      </c>
      <c r="G98" s="116"/>
      <c r="H98" s="116"/>
      <c r="I98" s="117"/>
      <c r="J98" s="34"/>
      <c r="K98" s="35"/>
      <c r="L98" s="35"/>
      <c r="M98" s="54"/>
      <c r="N98" s="130"/>
      <c r="O98" s="119"/>
      <c r="P98" s="119"/>
      <c r="Q98" s="119"/>
      <c r="R98" s="130"/>
      <c r="S98" s="119"/>
      <c r="T98" s="119"/>
      <c r="U98" s="119"/>
      <c r="V98" s="130"/>
      <c r="W98" s="119"/>
      <c r="X98" s="119"/>
      <c r="Y98" s="119"/>
      <c r="Z98" s="130"/>
      <c r="AA98" s="119"/>
      <c r="AB98" s="119"/>
      <c r="AC98" s="119"/>
      <c r="AD98" s="130"/>
      <c r="AE98" s="119"/>
      <c r="AF98" s="119"/>
      <c r="AG98" s="119"/>
      <c r="AH98" s="130"/>
      <c r="AI98" s="119"/>
      <c r="AJ98" s="119"/>
      <c r="AK98" s="119"/>
      <c r="AL98" s="130"/>
      <c r="AM98" s="119"/>
      <c r="AN98" s="119"/>
      <c r="AO98" s="130">
        <f>SUM(J98:AK98)</f>
        <v>0</v>
      </c>
      <c r="AP98" s="119"/>
      <c r="AQ98" s="119"/>
      <c r="AR98" s="40"/>
      <c r="AS98" s="15"/>
    </row>
    <row r="99" spans="1:85" customHeight="1" ht="13.5">
      <c r="A99" s="4"/>
      <c r="B99" s="115"/>
      <c r="C99" s="116"/>
      <c r="D99" s="116"/>
      <c r="E99" s="117"/>
      <c r="F99" s="131" t="s">
        <v>36</v>
      </c>
      <c r="G99" s="116"/>
      <c r="H99" s="116"/>
      <c r="I99" s="117"/>
      <c r="J99" s="34"/>
      <c r="K99" s="35"/>
      <c r="L99" s="35"/>
      <c r="M99" s="54"/>
      <c r="N99" s="130">
        <f>SUM(N97:Q98)</f>
        <v>0</v>
      </c>
      <c r="O99" s="119"/>
      <c r="P99" s="119"/>
      <c r="Q99" s="119"/>
      <c r="R99" s="130">
        <f>SUM(R97:U98)</f>
        <v>0</v>
      </c>
      <c r="S99" s="119"/>
      <c r="T99" s="119"/>
      <c r="U99" s="119"/>
      <c r="V99" s="130">
        <f>SUM(V97:Y98)</f>
        <v>0</v>
      </c>
      <c r="W99" s="119"/>
      <c r="X99" s="119"/>
      <c r="Y99" s="119"/>
      <c r="Z99" s="130">
        <f>SUM(Z97:AC98)</f>
        <v>0</v>
      </c>
      <c r="AA99" s="119"/>
      <c r="AB99" s="119"/>
      <c r="AC99" s="119"/>
      <c r="AD99" s="130">
        <f>SUM(AD97:AG98)</f>
        <v>0</v>
      </c>
      <c r="AE99" s="119"/>
      <c r="AF99" s="119"/>
      <c r="AG99" s="119"/>
      <c r="AH99" s="130">
        <f>SUM(AH97:AK98)</f>
        <v>0</v>
      </c>
      <c r="AI99" s="119"/>
      <c r="AJ99" s="119"/>
      <c r="AK99" s="119"/>
      <c r="AL99" s="130">
        <f>SUM(AL97:AO98)</f>
        <v>0</v>
      </c>
      <c r="AM99" s="119"/>
      <c r="AN99" s="119"/>
      <c r="AO99" s="130">
        <f>SUM(AO97:AR98)</f>
        <v>0</v>
      </c>
      <c r="AP99" s="119"/>
      <c r="AQ99" s="119"/>
      <c r="AR99" s="40"/>
      <c r="AS99" s="15"/>
    </row>
    <row r="100" spans="1:85" customHeight="1" ht="13.5">
      <c r="A100" s="4"/>
      <c r="B100" s="126" t="s">
        <v>40</v>
      </c>
      <c r="C100" s="105"/>
      <c r="D100" s="105"/>
      <c r="E100" s="100"/>
      <c r="F100" s="128" t="s">
        <v>34</v>
      </c>
      <c r="G100" s="95"/>
      <c r="H100" s="95"/>
      <c r="I100" s="96"/>
      <c r="J100" s="34"/>
      <c r="K100" s="35"/>
      <c r="L100" s="35"/>
      <c r="M100" s="54"/>
      <c r="N100" s="130"/>
      <c r="O100" s="119"/>
      <c r="P100" s="119"/>
      <c r="Q100" s="119"/>
      <c r="R100" s="130"/>
      <c r="S100" s="119"/>
      <c r="T100" s="119"/>
      <c r="U100" s="119"/>
      <c r="V100" s="130"/>
      <c r="W100" s="119"/>
      <c r="X100" s="119"/>
      <c r="Y100" s="119"/>
      <c r="Z100" s="130"/>
      <c r="AA100" s="119"/>
      <c r="AB100" s="119"/>
      <c r="AC100" s="119"/>
      <c r="AD100" s="130"/>
      <c r="AE100" s="119"/>
      <c r="AF100" s="119"/>
      <c r="AG100" s="119"/>
      <c r="AH100" s="130"/>
      <c r="AI100" s="119"/>
      <c r="AJ100" s="119"/>
      <c r="AK100" s="119"/>
      <c r="AL100" s="130"/>
      <c r="AM100" s="119"/>
      <c r="AN100" s="119"/>
      <c r="AO100" s="130">
        <f>SUM(J100:AK100)</f>
        <v>0</v>
      </c>
      <c r="AP100" s="119"/>
      <c r="AQ100" s="119"/>
      <c r="AR100" s="40"/>
      <c r="AS100" s="15"/>
    </row>
    <row r="101" spans="1:85" customHeight="1" ht="13.5">
      <c r="A101" s="4"/>
      <c r="B101" s="127"/>
      <c r="C101" s="105"/>
      <c r="D101" s="105"/>
      <c r="E101" s="100"/>
      <c r="F101" s="131" t="s">
        <v>35</v>
      </c>
      <c r="G101" s="116"/>
      <c r="H101" s="116"/>
      <c r="I101" s="117"/>
      <c r="J101" s="34"/>
      <c r="K101" s="35"/>
      <c r="L101" s="35"/>
      <c r="M101" s="54"/>
      <c r="N101" s="130"/>
      <c r="O101" s="119"/>
      <c r="P101" s="119"/>
      <c r="Q101" s="119"/>
      <c r="R101" s="130"/>
      <c r="S101" s="119"/>
      <c r="T101" s="119"/>
      <c r="U101" s="119"/>
      <c r="V101" s="130"/>
      <c r="W101" s="119"/>
      <c r="X101" s="119"/>
      <c r="Y101" s="119"/>
      <c r="Z101" s="130"/>
      <c r="AA101" s="119"/>
      <c r="AB101" s="119"/>
      <c r="AC101" s="119"/>
      <c r="AD101" s="130"/>
      <c r="AE101" s="119"/>
      <c r="AF101" s="119"/>
      <c r="AG101" s="119"/>
      <c r="AH101" s="130"/>
      <c r="AI101" s="119"/>
      <c r="AJ101" s="119"/>
      <c r="AK101" s="119"/>
      <c r="AL101" s="130"/>
      <c r="AM101" s="119"/>
      <c r="AN101" s="119"/>
      <c r="AO101" s="130">
        <f>SUM(J101:AK101)</f>
        <v>0</v>
      </c>
      <c r="AP101" s="119"/>
      <c r="AQ101" s="119"/>
      <c r="AR101" s="40"/>
      <c r="AS101" s="15"/>
    </row>
    <row r="102" spans="1:85" customHeight="1" ht="13.5">
      <c r="A102" s="4"/>
      <c r="B102" s="115"/>
      <c r="C102" s="116"/>
      <c r="D102" s="116"/>
      <c r="E102" s="117"/>
      <c r="F102" s="131" t="s">
        <v>36</v>
      </c>
      <c r="G102" s="116"/>
      <c r="H102" s="116"/>
      <c r="I102" s="117"/>
      <c r="J102" s="34"/>
      <c r="K102" s="35"/>
      <c r="L102" s="35"/>
      <c r="M102" s="54"/>
      <c r="N102" s="130">
        <f>SUM(N100:Q101)</f>
        <v>0</v>
      </c>
      <c r="O102" s="119"/>
      <c r="P102" s="119"/>
      <c r="Q102" s="119"/>
      <c r="R102" s="130">
        <f>SUM(R100:U101)</f>
        <v>0</v>
      </c>
      <c r="S102" s="119"/>
      <c r="T102" s="119"/>
      <c r="U102" s="119"/>
      <c r="V102" s="130">
        <f>SUM(V100:Y101)</f>
        <v>0</v>
      </c>
      <c r="W102" s="119"/>
      <c r="X102" s="119"/>
      <c r="Y102" s="119"/>
      <c r="Z102" s="130">
        <f>SUM(Z100:AC101)</f>
        <v>0</v>
      </c>
      <c r="AA102" s="119"/>
      <c r="AB102" s="119"/>
      <c r="AC102" s="119"/>
      <c r="AD102" s="130">
        <f>SUM(AD100:AG101)</f>
        <v>0</v>
      </c>
      <c r="AE102" s="119"/>
      <c r="AF102" s="119"/>
      <c r="AG102" s="119"/>
      <c r="AH102" s="130">
        <f>SUM(AH100:AK101)</f>
        <v>0</v>
      </c>
      <c r="AI102" s="119"/>
      <c r="AJ102" s="119"/>
      <c r="AK102" s="119"/>
      <c r="AL102" s="130">
        <f>SUM(AL100:AO101)</f>
        <v>0</v>
      </c>
      <c r="AM102" s="119"/>
      <c r="AN102" s="119"/>
      <c r="AO102" s="130">
        <f>SUM(AO100:AR101)</f>
        <v>0</v>
      </c>
      <c r="AP102" s="119"/>
      <c r="AQ102" s="119"/>
      <c r="AR102" s="40"/>
      <c r="AS102" s="15"/>
    </row>
    <row r="103" spans="1:85" customHeight="1" ht="13.5">
      <c r="A103" s="4"/>
      <c r="B103" s="126" t="s">
        <v>41</v>
      </c>
      <c r="C103" s="105"/>
      <c r="D103" s="105"/>
      <c r="E103" s="100"/>
      <c r="F103" s="128" t="s">
        <v>34</v>
      </c>
      <c r="G103" s="95"/>
      <c r="H103" s="95"/>
      <c r="I103" s="96"/>
      <c r="J103" s="34"/>
      <c r="K103" s="35"/>
      <c r="L103" s="35"/>
      <c r="M103" s="54"/>
      <c r="N103" s="130"/>
      <c r="O103" s="119"/>
      <c r="P103" s="119"/>
      <c r="Q103" s="119"/>
      <c r="R103" s="130"/>
      <c r="S103" s="119"/>
      <c r="T103" s="119"/>
      <c r="U103" s="119"/>
      <c r="V103" s="130"/>
      <c r="W103" s="119"/>
      <c r="X103" s="119"/>
      <c r="Y103" s="119"/>
      <c r="Z103" s="130"/>
      <c r="AA103" s="119"/>
      <c r="AB103" s="119"/>
      <c r="AC103" s="119"/>
      <c r="AD103" s="130"/>
      <c r="AE103" s="119"/>
      <c r="AF103" s="119"/>
      <c r="AG103" s="119"/>
      <c r="AH103" s="130"/>
      <c r="AI103" s="119"/>
      <c r="AJ103" s="119"/>
      <c r="AK103" s="119"/>
      <c r="AL103" s="130"/>
      <c r="AM103" s="119"/>
      <c r="AN103" s="119"/>
      <c r="AO103" s="130">
        <f>SUM(J103:AK103)</f>
        <v>0</v>
      </c>
      <c r="AP103" s="119"/>
      <c r="AQ103" s="119"/>
      <c r="AR103" s="40"/>
      <c r="AS103" s="15"/>
    </row>
    <row r="104" spans="1:85" customHeight="1" ht="13.5">
      <c r="A104" s="4"/>
      <c r="B104" s="127"/>
      <c r="C104" s="105"/>
      <c r="D104" s="105"/>
      <c r="E104" s="100"/>
      <c r="F104" s="131" t="s">
        <v>35</v>
      </c>
      <c r="G104" s="116"/>
      <c r="H104" s="116"/>
      <c r="I104" s="117"/>
      <c r="J104" s="34"/>
      <c r="K104" s="35"/>
      <c r="L104" s="35"/>
      <c r="M104" s="54"/>
      <c r="N104" s="130"/>
      <c r="O104" s="119"/>
      <c r="P104" s="119"/>
      <c r="Q104" s="119"/>
      <c r="R104" s="130"/>
      <c r="S104" s="119"/>
      <c r="T104" s="119"/>
      <c r="U104" s="119"/>
      <c r="V104" s="130"/>
      <c r="W104" s="119"/>
      <c r="X104" s="119"/>
      <c r="Y104" s="119"/>
      <c r="Z104" s="130"/>
      <c r="AA104" s="119"/>
      <c r="AB104" s="119"/>
      <c r="AC104" s="119"/>
      <c r="AD104" s="130"/>
      <c r="AE104" s="119"/>
      <c r="AF104" s="119"/>
      <c r="AG104" s="119"/>
      <c r="AH104" s="130"/>
      <c r="AI104" s="119"/>
      <c r="AJ104" s="119"/>
      <c r="AK104" s="119"/>
      <c r="AL104" s="130"/>
      <c r="AM104" s="119"/>
      <c r="AN104" s="119"/>
      <c r="AO104" s="130">
        <f>SUM(J104:AK104)</f>
        <v>0</v>
      </c>
      <c r="AP104" s="119"/>
      <c r="AQ104" s="119"/>
      <c r="AR104" s="40"/>
      <c r="AS104" s="15"/>
    </row>
    <row r="105" spans="1:85" customHeight="1" ht="13.5">
      <c r="A105" s="4"/>
      <c r="B105" s="115"/>
      <c r="C105" s="116"/>
      <c r="D105" s="116"/>
      <c r="E105" s="117"/>
      <c r="F105" s="131" t="s">
        <v>36</v>
      </c>
      <c r="G105" s="116"/>
      <c r="H105" s="116"/>
      <c r="I105" s="117"/>
      <c r="J105" s="34"/>
      <c r="K105" s="35"/>
      <c r="L105" s="35"/>
      <c r="M105" s="54"/>
      <c r="N105" s="130">
        <f>SUM(N103:Q104)</f>
        <v>0</v>
      </c>
      <c r="O105" s="119"/>
      <c r="P105" s="119"/>
      <c r="Q105" s="119"/>
      <c r="R105" s="130">
        <f>SUM(R103:U104)</f>
        <v>0</v>
      </c>
      <c r="S105" s="119"/>
      <c r="T105" s="119"/>
      <c r="U105" s="119"/>
      <c r="V105" s="130">
        <f>SUM(V103:Y104)</f>
        <v>0</v>
      </c>
      <c r="W105" s="119"/>
      <c r="X105" s="119"/>
      <c r="Y105" s="119"/>
      <c r="Z105" s="130">
        <f>SUM(Z103:AC104)</f>
        <v>0</v>
      </c>
      <c r="AA105" s="119"/>
      <c r="AB105" s="119"/>
      <c r="AC105" s="119"/>
      <c r="AD105" s="130">
        <f>SUM(AD103:AG104)</f>
        <v>0</v>
      </c>
      <c r="AE105" s="119"/>
      <c r="AF105" s="119"/>
      <c r="AG105" s="119"/>
      <c r="AH105" s="130">
        <f>SUM(AH103:AK104)</f>
        <v>0</v>
      </c>
      <c r="AI105" s="119"/>
      <c r="AJ105" s="119"/>
      <c r="AK105" s="119"/>
      <c r="AL105" s="130">
        <f>SUM(AL103:AO104)</f>
        <v>0</v>
      </c>
      <c r="AM105" s="119"/>
      <c r="AN105" s="119"/>
      <c r="AO105" s="130">
        <f>SUM(AO103:AR104)</f>
        <v>0</v>
      </c>
      <c r="AP105" s="119"/>
      <c r="AQ105" s="119"/>
      <c r="AR105" s="40"/>
      <c r="AS105" s="15"/>
    </row>
    <row r="106" spans="1:85" customHeight="1" ht="13.5">
      <c r="A106" s="4"/>
      <c r="B106" s="126" t="s">
        <v>42</v>
      </c>
      <c r="C106" s="105"/>
      <c r="D106" s="105"/>
      <c r="E106" s="100"/>
      <c r="F106" s="128" t="s">
        <v>34</v>
      </c>
      <c r="G106" s="95"/>
      <c r="H106" s="95"/>
      <c r="I106" s="96"/>
      <c r="J106" s="34"/>
      <c r="K106" s="35"/>
      <c r="L106" s="35"/>
      <c r="M106" s="54"/>
      <c r="N106" s="130"/>
      <c r="O106" s="119"/>
      <c r="P106" s="119"/>
      <c r="Q106" s="119"/>
      <c r="R106" s="130"/>
      <c r="S106" s="119"/>
      <c r="T106" s="119"/>
      <c r="U106" s="119"/>
      <c r="V106" s="130"/>
      <c r="W106" s="119"/>
      <c r="X106" s="119"/>
      <c r="Y106" s="119"/>
      <c r="Z106" s="130"/>
      <c r="AA106" s="119"/>
      <c r="AB106" s="119"/>
      <c r="AC106" s="119"/>
      <c r="AD106" s="130"/>
      <c r="AE106" s="119"/>
      <c r="AF106" s="119"/>
      <c r="AG106" s="119"/>
      <c r="AH106" s="130"/>
      <c r="AI106" s="119"/>
      <c r="AJ106" s="119"/>
      <c r="AK106" s="119"/>
      <c r="AL106" s="130"/>
      <c r="AM106" s="119"/>
      <c r="AN106" s="119"/>
      <c r="AO106" s="130">
        <f>SUM(J106:AK106)</f>
        <v>0</v>
      </c>
      <c r="AP106" s="119"/>
      <c r="AQ106" s="119"/>
      <c r="AR106" s="40"/>
      <c r="AS106" s="15"/>
    </row>
    <row r="107" spans="1:85" customHeight="1" ht="13.5">
      <c r="A107" s="4"/>
      <c r="B107" s="127"/>
      <c r="C107" s="105"/>
      <c r="D107" s="105"/>
      <c r="E107" s="100"/>
      <c r="F107" s="131" t="s">
        <v>35</v>
      </c>
      <c r="G107" s="116"/>
      <c r="H107" s="116"/>
      <c r="I107" s="117"/>
      <c r="J107" s="34"/>
      <c r="K107" s="35"/>
      <c r="L107" s="35"/>
      <c r="M107" s="54"/>
      <c r="N107" s="130"/>
      <c r="O107" s="119"/>
      <c r="P107" s="119"/>
      <c r="Q107" s="119"/>
      <c r="R107" s="130"/>
      <c r="S107" s="119"/>
      <c r="T107" s="119"/>
      <c r="U107" s="119"/>
      <c r="V107" s="130"/>
      <c r="W107" s="119"/>
      <c r="X107" s="119"/>
      <c r="Y107" s="119"/>
      <c r="Z107" s="130"/>
      <c r="AA107" s="119"/>
      <c r="AB107" s="119"/>
      <c r="AC107" s="119"/>
      <c r="AD107" s="130"/>
      <c r="AE107" s="119"/>
      <c r="AF107" s="119"/>
      <c r="AG107" s="119"/>
      <c r="AH107" s="130"/>
      <c r="AI107" s="119"/>
      <c r="AJ107" s="119"/>
      <c r="AK107" s="119"/>
      <c r="AL107" s="130"/>
      <c r="AM107" s="119"/>
      <c r="AN107" s="119"/>
      <c r="AO107" s="130">
        <f>SUM(J107:AK107)</f>
        <v>0</v>
      </c>
      <c r="AP107" s="119"/>
      <c r="AQ107" s="119"/>
      <c r="AR107" s="40"/>
      <c r="AS107" s="15"/>
    </row>
    <row r="108" spans="1:85" customHeight="1" ht="13.5">
      <c r="A108" s="4"/>
      <c r="B108" s="115"/>
      <c r="C108" s="116"/>
      <c r="D108" s="116"/>
      <c r="E108" s="117"/>
      <c r="F108" s="131" t="s">
        <v>36</v>
      </c>
      <c r="G108" s="116"/>
      <c r="H108" s="116"/>
      <c r="I108" s="117"/>
      <c r="J108" s="34"/>
      <c r="K108" s="35"/>
      <c r="L108" s="35"/>
      <c r="M108" s="54"/>
      <c r="N108" s="130">
        <f>SUM(N106:Q107)</f>
        <v>0</v>
      </c>
      <c r="O108" s="119"/>
      <c r="P108" s="119"/>
      <c r="Q108" s="119"/>
      <c r="R108" s="130">
        <f>SUM(R106:U107)</f>
        <v>0</v>
      </c>
      <c r="S108" s="119"/>
      <c r="T108" s="119"/>
      <c r="U108" s="119"/>
      <c r="V108" s="130">
        <f>SUM(V106:Y107)</f>
        <v>0</v>
      </c>
      <c r="W108" s="119"/>
      <c r="X108" s="119"/>
      <c r="Y108" s="119"/>
      <c r="Z108" s="130">
        <f>SUM(Z106:AC107)</f>
        <v>0</v>
      </c>
      <c r="AA108" s="119"/>
      <c r="AB108" s="119"/>
      <c r="AC108" s="119"/>
      <c r="AD108" s="130">
        <f>SUM(AD106:AG107)</f>
        <v>0</v>
      </c>
      <c r="AE108" s="119"/>
      <c r="AF108" s="119"/>
      <c r="AG108" s="119"/>
      <c r="AH108" s="130">
        <f>SUM(AH106:AK107)</f>
        <v>0</v>
      </c>
      <c r="AI108" s="119"/>
      <c r="AJ108" s="119"/>
      <c r="AK108" s="119"/>
      <c r="AL108" s="130">
        <f>SUM(AL106:AO107)</f>
        <v>0</v>
      </c>
      <c r="AM108" s="119"/>
      <c r="AN108" s="119"/>
      <c r="AO108" s="130">
        <f>SUM(AO106:AR107)</f>
        <v>0</v>
      </c>
      <c r="AP108" s="119"/>
      <c r="AQ108" s="119"/>
      <c r="AR108" s="40"/>
      <c r="AS108" s="15"/>
    </row>
    <row r="109" spans="1:85" customHeight="1" ht="13.5">
      <c r="A109" s="4"/>
      <c r="B109" s="126" t="s">
        <v>43</v>
      </c>
      <c r="C109" s="105"/>
      <c r="D109" s="105"/>
      <c r="E109" s="100"/>
      <c r="F109" s="128" t="s">
        <v>34</v>
      </c>
      <c r="G109" s="95"/>
      <c r="H109" s="95"/>
      <c r="I109" s="96"/>
      <c r="J109" s="34"/>
      <c r="K109" s="35"/>
      <c r="L109" s="35"/>
      <c r="M109" s="54"/>
      <c r="N109" s="130"/>
      <c r="O109" s="119"/>
      <c r="P109" s="119"/>
      <c r="Q109" s="119"/>
      <c r="R109" s="130"/>
      <c r="S109" s="119"/>
      <c r="T109" s="119"/>
      <c r="U109" s="119"/>
      <c r="V109" s="130"/>
      <c r="W109" s="119"/>
      <c r="X109" s="119"/>
      <c r="Y109" s="119"/>
      <c r="Z109" s="130"/>
      <c r="AA109" s="119"/>
      <c r="AB109" s="119"/>
      <c r="AC109" s="119"/>
      <c r="AD109" s="130"/>
      <c r="AE109" s="119"/>
      <c r="AF109" s="119"/>
      <c r="AG109" s="119"/>
      <c r="AH109" s="130"/>
      <c r="AI109" s="119"/>
      <c r="AJ109" s="119"/>
      <c r="AK109" s="119"/>
      <c r="AL109" s="130"/>
      <c r="AM109" s="119"/>
      <c r="AN109" s="119"/>
      <c r="AO109" s="130">
        <f>SUM(J109:AK109)</f>
        <v>0</v>
      </c>
      <c r="AP109" s="119"/>
      <c r="AQ109" s="119"/>
      <c r="AR109" s="40"/>
      <c r="AS109" s="15"/>
    </row>
    <row r="110" spans="1:85" customHeight="1" ht="13.5">
      <c r="A110" s="4"/>
      <c r="B110" s="127"/>
      <c r="C110" s="105"/>
      <c r="D110" s="105"/>
      <c r="E110" s="100"/>
      <c r="F110" s="131" t="s">
        <v>35</v>
      </c>
      <c r="G110" s="116"/>
      <c r="H110" s="116"/>
      <c r="I110" s="117"/>
      <c r="J110" s="34"/>
      <c r="K110" s="35"/>
      <c r="L110" s="35"/>
      <c r="M110" s="54"/>
      <c r="N110" s="130"/>
      <c r="O110" s="119"/>
      <c r="P110" s="119"/>
      <c r="Q110" s="119"/>
      <c r="R110" s="130"/>
      <c r="S110" s="119"/>
      <c r="T110" s="119"/>
      <c r="U110" s="119"/>
      <c r="V110" s="130"/>
      <c r="W110" s="119"/>
      <c r="X110" s="119"/>
      <c r="Y110" s="119"/>
      <c r="Z110" s="130"/>
      <c r="AA110" s="119"/>
      <c r="AB110" s="119"/>
      <c r="AC110" s="119"/>
      <c r="AD110" s="130"/>
      <c r="AE110" s="119"/>
      <c r="AF110" s="119"/>
      <c r="AG110" s="119"/>
      <c r="AH110" s="130"/>
      <c r="AI110" s="119"/>
      <c r="AJ110" s="119"/>
      <c r="AK110" s="119"/>
      <c r="AL110" s="130"/>
      <c r="AM110" s="119"/>
      <c r="AN110" s="119"/>
      <c r="AO110" s="130">
        <f>SUM(J110:AK110)</f>
        <v>0</v>
      </c>
      <c r="AP110" s="119"/>
      <c r="AQ110" s="119"/>
      <c r="AR110" s="40"/>
      <c r="AS110" s="15"/>
    </row>
    <row r="111" spans="1:85" customHeight="1" ht="13.5">
      <c r="A111" s="4"/>
      <c r="B111" s="115"/>
      <c r="C111" s="116"/>
      <c r="D111" s="116"/>
      <c r="E111" s="117"/>
      <c r="F111" s="131" t="s">
        <v>36</v>
      </c>
      <c r="G111" s="116"/>
      <c r="H111" s="116"/>
      <c r="I111" s="117"/>
      <c r="J111" s="34"/>
      <c r="K111" s="35"/>
      <c r="L111" s="35"/>
      <c r="M111" s="54"/>
      <c r="N111" s="130">
        <f>SUM(N109:Q110)</f>
        <v>0</v>
      </c>
      <c r="O111" s="119"/>
      <c r="P111" s="119"/>
      <c r="Q111" s="119"/>
      <c r="R111" s="130">
        <f>SUM(R109:U110)</f>
        <v>0</v>
      </c>
      <c r="S111" s="119"/>
      <c r="T111" s="119"/>
      <c r="U111" s="119"/>
      <c r="V111" s="130">
        <f>SUM(V109:Y110)</f>
        <v>0</v>
      </c>
      <c r="W111" s="119"/>
      <c r="X111" s="119"/>
      <c r="Y111" s="119"/>
      <c r="Z111" s="130">
        <f>SUM(Z109:AC110)</f>
        <v>0</v>
      </c>
      <c r="AA111" s="119"/>
      <c r="AB111" s="119"/>
      <c r="AC111" s="119"/>
      <c r="AD111" s="130">
        <f>SUM(AD109:AG110)</f>
        <v>0</v>
      </c>
      <c r="AE111" s="119"/>
      <c r="AF111" s="119"/>
      <c r="AG111" s="119"/>
      <c r="AH111" s="130">
        <f>SUM(AH109:AK110)</f>
        <v>0</v>
      </c>
      <c r="AI111" s="119"/>
      <c r="AJ111" s="119"/>
      <c r="AK111" s="119"/>
      <c r="AL111" s="130">
        <f>SUM(AL109:AO110)</f>
        <v>0</v>
      </c>
      <c r="AM111" s="119"/>
      <c r="AN111" s="119"/>
      <c r="AO111" s="130">
        <f>SUM(AO109:AR110)</f>
        <v>0</v>
      </c>
      <c r="AP111" s="119"/>
      <c r="AQ111" s="119"/>
      <c r="AR111" s="40"/>
      <c r="AS111" s="15"/>
    </row>
    <row r="112" spans="1:85" customHeight="1" ht="13.5">
      <c r="A112" s="4"/>
      <c r="B112" s="126" t="s">
        <v>44</v>
      </c>
      <c r="C112" s="105"/>
      <c r="D112" s="105"/>
      <c r="E112" s="100"/>
      <c r="F112" s="128" t="s">
        <v>34</v>
      </c>
      <c r="G112" s="95"/>
      <c r="H112" s="95"/>
      <c r="I112" s="96"/>
      <c r="J112" s="34"/>
      <c r="K112" s="35"/>
      <c r="L112" s="35"/>
      <c r="M112" s="54"/>
      <c r="N112" s="130"/>
      <c r="O112" s="119"/>
      <c r="P112" s="119"/>
      <c r="Q112" s="119"/>
      <c r="R112" s="130"/>
      <c r="S112" s="119"/>
      <c r="T112" s="119"/>
      <c r="U112" s="119"/>
      <c r="V112" s="130"/>
      <c r="W112" s="119"/>
      <c r="X112" s="119"/>
      <c r="Y112" s="119"/>
      <c r="Z112" s="130"/>
      <c r="AA112" s="119"/>
      <c r="AB112" s="119"/>
      <c r="AC112" s="119"/>
      <c r="AD112" s="130"/>
      <c r="AE112" s="119"/>
      <c r="AF112" s="119"/>
      <c r="AG112" s="119"/>
      <c r="AH112" s="130"/>
      <c r="AI112" s="119"/>
      <c r="AJ112" s="119"/>
      <c r="AK112" s="119"/>
      <c r="AL112" s="130"/>
      <c r="AM112" s="119"/>
      <c r="AN112" s="119"/>
      <c r="AO112" s="130">
        <f>SUM(J112:AK112)</f>
        <v>0</v>
      </c>
      <c r="AP112" s="119"/>
      <c r="AQ112" s="119"/>
      <c r="AR112" s="40"/>
      <c r="AS112" s="15"/>
    </row>
    <row r="113" spans="1:85" customHeight="1" ht="13.5">
      <c r="A113" s="4"/>
      <c r="B113" s="127"/>
      <c r="C113" s="105"/>
      <c r="D113" s="105"/>
      <c r="E113" s="100"/>
      <c r="F113" s="131" t="s">
        <v>35</v>
      </c>
      <c r="G113" s="116"/>
      <c r="H113" s="116"/>
      <c r="I113" s="117"/>
      <c r="J113" s="34"/>
      <c r="K113" s="35"/>
      <c r="L113" s="35"/>
      <c r="M113" s="54"/>
      <c r="N113" s="130"/>
      <c r="O113" s="119"/>
      <c r="P113" s="119"/>
      <c r="Q113" s="119"/>
      <c r="R113" s="130"/>
      <c r="S113" s="119"/>
      <c r="T113" s="119"/>
      <c r="U113" s="119"/>
      <c r="V113" s="130"/>
      <c r="W113" s="119"/>
      <c r="X113" s="119"/>
      <c r="Y113" s="119"/>
      <c r="Z113" s="130"/>
      <c r="AA113" s="119"/>
      <c r="AB113" s="119"/>
      <c r="AC113" s="119"/>
      <c r="AD113" s="130"/>
      <c r="AE113" s="119"/>
      <c r="AF113" s="119"/>
      <c r="AG113" s="119"/>
      <c r="AH113" s="130"/>
      <c r="AI113" s="119"/>
      <c r="AJ113" s="119"/>
      <c r="AK113" s="119"/>
      <c r="AL113" s="130"/>
      <c r="AM113" s="119"/>
      <c r="AN113" s="119"/>
      <c r="AO113" s="130">
        <f>SUM(J113:AK113)</f>
        <v>0</v>
      </c>
      <c r="AP113" s="119"/>
      <c r="AQ113" s="119"/>
      <c r="AR113" s="40"/>
      <c r="AS113" s="15"/>
    </row>
    <row r="114" spans="1:85" customHeight="1" ht="13.5">
      <c r="A114" s="4"/>
      <c r="B114" s="115"/>
      <c r="C114" s="116"/>
      <c r="D114" s="116"/>
      <c r="E114" s="117"/>
      <c r="F114" s="131" t="s">
        <v>36</v>
      </c>
      <c r="G114" s="116"/>
      <c r="H114" s="116"/>
      <c r="I114" s="117"/>
      <c r="J114" s="34"/>
      <c r="K114" s="35"/>
      <c r="L114" s="35"/>
      <c r="M114" s="54"/>
      <c r="N114" s="130">
        <f>SUM(N112:Q113)</f>
        <v>0</v>
      </c>
      <c r="O114" s="119"/>
      <c r="P114" s="119"/>
      <c r="Q114" s="119"/>
      <c r="R114" s="130">
        <f>SUM(R112:U113)</f>
        <v>0</v>
      </c>
      <c r="S114" s="119"/>
      <c r="T114" s="119"/>
      <c r="U114" s="119"/>
      <c r="V114" s="130">
        <f>SUM(V112:Y113)</f>
        <v>0</v>
      </c>
      <c r="W114" s="119"/>
      <c r="X114" s="119"/>
      <c r="Y114" s="119"/>
      <c r="Z114" s="130">
        <f>SUM(Z112:AC113)</f>
        <v>0</v>
      </c>
      <c r="AA114" s="119"/>
      <c r="AB114" s="119"/>
      <c r="AC114" s="119"/>
      <c r="AD114" s="130">
        <f>SUM(AD112:AG113)</f>
        <v>0</v>
      </c>
      <c r="AE114" s="119"/>
      <c r="AF114" s="119"/>
      <c r="AG114" s="119"/>
      <c r="AH114" s="130">
        <f>SUM(AH112:AK113)</f>
        <v>0</v>
      </c>
      <c r="AI114" s="119"/>
      <c r="AJ114" s="119"/>
      <c r="AK114" s="119"/>
      <c r="AL114" s="130">
        <f>SUM(AL112:AO113)</f>
        <v>0</v>
      </c>
      <c r="AM114" s="119"/>
      <c r="AN114" s="119"/>
      <c r="AO114" s="130">
        <f>SUM(AO112:AR113)</f>
        <v>0</v>
      </c>
      <c r="AP114" s="119"/>
      <c r="AQ114" s="119"/>
      <c r="AR114" s="40"/>
      <c r="AS114" s="15"/>
    </row>
    <row r="115" spans="1:85" customHeight="1" ht="13.5">
      <c r="A115" s="4"/>
      <c r="B115" s="134" t="s">
        <v>45</v>
      </c>
      <c r="C115" s="91"/>
      <c r="D115" s="91"/>
      <c r="E115" s="93"/>
      <c r="F115" s="128" t="s">
        <v>34</v>
      </c>
      <c r="G115" s="95"/>
      <c r="H115" s="95"/>
      <c r="I115" s="96"/>
      <c r="J115" s="34"/>
      <c r="K115" s="35"/>
      <c r="L115" s="35"/>
      <c r="M115" s="54"/>
      <c r="N115" s="130"/>
      <c r="O115" s="119"/>
      <c r="P115" s="119"/>
      <c r="Q115" s="119"/>
      <c r="R115" s="130"/>
      <c r="S115" s="119"/>
      <c r="T115" s="119"/>
      <c r="U115" s="119"/>
      <c r="V115" s="130"/>
      <c r="W115" s="119"/>
      <c r="X115" s="119"/>
      <c r="Y115" s="119"/>
      <c r="Z115" s="130"/>
      <c r="AA115" s="119"/>
      <c r="AB115" s="119"/>
      <c r="AC115" s="119"/>
      <c r="AD115" s="130"/>
      <c r="AE115" s="119"/>
      <c r="AF115" s="119"/>
      <c r="AG115" s="119"/>
      <c r="AH115" s="130"/>
      <c r="AI115" s="119"/>
      <c r="AJ115" s="119"/>
      <c r="AK115" s="119"/>
      <c r="AL115" s="130"/>
      <c r="AM115" s="119"/>
      <c r="AN115" s="119"/>
      <c r="AO115" s="130">
        <f>SUM(J115:AK115)</f>
        <v>0</v>
      </c>
      <c r="AP115" s="119"/>
      <c r="AQ115" s="119"/>
      <c r="AR115" s="40"/>
      <c r="AS115" s="15"/>
    </row>
    <row r="116" spans="1:85" customHeight="1" ht="13.5">
      <c r="A116" s="4"/>
      <c r="B116" s="127"/>
      <c r="C116" s="105"/>
      <c r="D116" s="105"/>
      <c r="E116" s="100"/>
      <c r="F116" s="131" t="s">
        <v>35</v>
      </c>
      <c r="G116" s="116"/>
      <c r="H116" s="116"/>
      <c r="I116" s="117"/>
      <c r="J116" s="34"/>
      <c r="K116" s="35"/>
      <c r="L116" s="35"/>
      <c r="M116" s="54"/>
      <c r="N116" s="130"/>
      <c r="O116" s="119"/>
      <c r="P116" s="119"/>
      <c r="Q116" s="119"/>
      <c r="R116" s="130"/>
      <c r="S116" s="119"/>
      <c r="T116" s="119"/>
      <c r="U116" s="119"/>
      <c r="V116" s="130"/>
      <c r="W116" s="119"/>
      <c r="X116" s="119"/>
      <c r="Y116" s="119"/>
      <c r="Z116" s="130"/>
      <c r="AA116" s="119"/>
      <c r="AB116" s="119"/>
      <c r="AC116" s="119"/>
      <c r="AD116" s="130"/>
      <c r="AE116" s="119"/>
      <c r="AF116" s="119"/>
      <c r="AG116" s="119"/>
      <c r="AH116" s="130"/>
      <c r="AI116" s="119"/>
      <c r="AJ116" s="119"/>
      <c r="AK116" s="119"/>
      <c r="AL116" s="130"/>
      <c r="AM116" s="119"/>
      <c r="AN116" s="119"/>
      <c r="AO116" s="130">
        <f>SUM(J116:AK116)</f>
        <v>0</v>
      </c>
      <c r="AP116" s="119"/>
      <c r="AQ116" s="119"/>
      <c r="AR116" s="40"/>
      <c r="AS116" s="15"/>
    </row>
    <row r="117" spans="1:85" customHeight="1" ht="13.5">
      <c r="A117" s="4"/>
      <c r="B117" s="115"/>
      <c r="C117" s="116"/>
      <c r="D117" s="116"/>
      <c r="E117" s="117"/>
      <c r="F117" s="131" t="s">
        <v>36</v>
      </c>
      <c r="G117" s="116"/>
      <c r="H117" s="116"/>
      <c r="I117" s="117"/>
      <c r="J117" s="135">
        <f>SUM(J90,J93,J96,J99,J102,J105,J108,J111,J114)</f>
        <v>0</v>
      </c>
      <c r="K117" s="95"/>
      <c r="L117" s="95"/>
      <c r="M117" s="95"/>
      <c r="N117" s="130">
        <f>SUM(N90,N93,N96,N99,N102,N105,N108,N111,N114)</f>
        <v>0</v>
      </c>
      <c r="O117" s="119"/>
      <c r="P117" s="119"/>
      <c r="Q117" s="119"/>
      <c r="R117" s="130">
        <f>SUM(R90,R93,R96,R99,R102,R105,R108,R111,R114)</f>
        <v>0</v>
      </c>
      <c r="S117" s="119"/>
      <c r="T117" s="119"/>
      <c r="U117" s="119"/>
      <c r="V117" s="130">
        <f>SUM(V90,V93,V96,V99,V102,V105,V108,V111,V114)</f>
        <v>0</v>
      </c>
      <c r="W117" s="119"/>
      <c r="X117" s="119"/>
      <c r="Y117" s="119"/>
      <c r="Z117" s="130">
        <f>SUM(Z90,Z93,Z96,Z99,Z102,Z105,Z108,Z111,Z114)</f>
        <v>0</v>
      </c>
      <c r="AA117" s="119"/>
      <c r="AB117" s="119"/>
      <c r="AC117" s="119"/>
      <c r="AD117" s="130">
        <f>SUM(AD90,AD93,AD96,AD99,AD102,AD105,AD108,AD111,AD114)</f>
        <v>0</v>
      </c>
      <c r="AE117" s="119"/>
      <c r="AF117" s="119"/>
      <c r="AG117" s="119"/>
      <c r="AH117" s="130">
        <f>SUM(AH90,AH93,AH96,AH99,AH102,AH105,AH108,AH111,AH114)</f>
        <v>0</v>
      </c>
      <c r="AI117" s="119"/>
      <c r="AJ117" s="119"/>
      <c r="AK117" s="119"/>
      <c r="AL117" s="130">
        <f>SUM(AL90,AL93,AL96,AL99,AL102,AL105,AL108,AL111,AL114)</f>
        <v>0</v>
      </c>
      <c r="AM117" s="119"/>
      <c r="AN117" s="119"/>
      <c r="AO117" s="130">
        <f>SUM(AO90,AO93,AO96,AO99,AO102,AO105,AO108,AO111,AO114)</f>
        <v>0</v>
      </c>
      <c r="AP117" s="119"/>
      <c r="AQ117" s="119"/>
      <c r="AR117" s="40"/>
      <c r="AS117" s="15"/>
    </row>
    <row r="118" spans="1:85" customHeight="1" ht="13.5">
      <c r="A118" s="4"/>
      <c r="B118" s="16"/>
      <c r="C118" s="16"/>
      <c r="D118" s="16"/>
      <c r="E118" s="16"/>
      <c r="F118" s="16"/>
      <c r="G118" s="16"/>
      <c r="H118" s="16"/>
      <c r="I118" s="4"/>
      <c r="J118" s="4"/>
      <c r="K118" s="4"/>
      <c r="L118" s="4"/>
      <c r="M118" s="4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"/>
      <c r="AS118" s="4"/>
    </row>
    <row r="119" spans="1:85" customHeight="1" ht="13.5">
      <c r="A119" s="4"/>
      <c r="B119" s="137" t="s">
        <v>48</v>
      </c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  <c r="AB119" s="138"/>
      <c r="AC119" s="138"/>
      <c r="AD119" s="138"/>
      <c r="AE119" s="138"/>
      <c r="AF119" s="138"/>
      <c r="AG119" s="138"/>
      <c r="AH119" s="138"/>
      <c r="AI119" s="138"/>
      <c r="AJ119" s="138"/>
      <c r="AK119" s="138"/>
      <c r="AL119" s="138"/>
      <c r="AM119" s="138"/>
      <c r="AN119" s="138"/>
      <c r="AO119" s="138"/>
      <c r="AP119" s="138"/>
      <c r="AQ119" s="138"/>
      <c r="AR119" s="4"/>
      <c r="AS119" s="4"/>
    </row>
    <row r="120" spans="1:85" customHeight="1" ht="13.5">
      <c r="A120" s="4"/>
      <c r="B120" s="114" t="s">
        <v>22</v>
      </c>
      <c r="C120" s="91"/>
      <c r="D120" s="91"/>
      <c r="E120" s="93"/>
      <c r="F120" s="114" t="s">
        <v>23</v>
      </c>
      <c r="G120" s="91"/>
      <c r="H120" s="91"/>
      <c r="I120" s="93"/>
      <c r="J120" s="114" t="s">
        <v>24</v>
      </c>
      <c r="K120" s="91"/>
      <c r="L120" s="91"/>
      <c r="M120" s="91"/>
      <c r="N120" s="118" t="s">
        <v>25</v>
      </c>
      <c r="O120" s="119"/>
      <c r="P120" s="119"/>
      <c r="Q120" s="119"/>
      <c r="R120" s="118" t="s">
        <v>26</v>
      </c>
      <c r="S120" s="119"/>
      <c r="T120" s="119"/>
      <c r="U120" s="119"/>
      <c r="V120" s="118" t="s">
        <v>27</v>
      </c>
      <c r="W120" s="119"/>
      <c r="X120" s="119"/>
      <c r="Y120" s="119"/>
      <c r="Z120" s="120" t="s">
        <v>28</v>
      </c>
      <c r="AA120" s="119"/>
      <c r="AB120" s="119"/>
      <c r="AC120" s="119"/>
      <c r="AD120" s="118" t="s">
        <v>29</v>
      </c>
      <c r="AE120" s="119"/>
      <c r="AF120" s="119"/>
      <c r="AG120" s="119"/>
      <c r="AH120" s="118" t="s">
        <v>30</v>
      </c>
      <c r="AI120" s="119"/>
      <c r="AJ120" s="119"/>
      <c r="AK120" s="119"/>
      <c r="AL120" s="120" t="s">
        <v>31</v>
      </c>
      <c r="AM120" s="119"/>
      <c r="AN120" s="119"/>
      <c r="AO120" s="118" t="s">
        <v>32</v>
      </c>
      <c r="AP120" s="119"/>
      <c r="AQ120" s="119"/>
      <c r="AR120" s="55"/>
      <c r="AS120" s="14"/>
    </row>
    <row r="121" spans="1:85" customHeight="1" ht="13.5">
      <c r="A121" s="4"/>
      <c r="B121" s="115"/>
      <c r="C121" s="116"/>
      <c r="D121" s="116"/>
      <c r="E121" s="117"/>
      <c r="F121" s="115"/>
      <c r="G121" s="116"/>
      <c r="H121" s="116"/>
      <c r="I121" s="117"/>
      <c r="J121" s="115"/>
      <c r="K121" s="116"/>
      <c r="L121" s="116"/>
      <c r="M121" s="116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  <c r="AA121" s="119"/>
      <c r="AB121" s="119"/>
      <c r="AC121" s="119"/>
      <c r="AD121" s="119"/>
      <c r="AE121" s="119"/>
      <c r="AF121" s="119"/>
      <c r="AG121" s="119"/>
      <c r="AH121" s="119"/>
      <c r="AI121" s="119"/>
      <c r="AJ121" s="119"/>
      <c r="AK121" s="119"/>
      <c r="AL121" s="119"/>
      <c r="AM121" s="119"/>
      <c r="AN121" s="119"/>
      <c r="AO121" s="119"/>
      <c r="AP121" s="119"/>
      <c r="AQ121" s="119"/>
      <c r="AR121" s="55"/>
      <c r="AS121" s="14"/>
    </row>
    <row r="122" spans="1:85" customHeight="1" ht="13.5">
      <c r="A122" s="4"/>
      <c r="B122" s="126" t="s">
        <v>33</v>
      </c>
      <c r="C122" s="105"/>
      <c r="D122" s="105"/>
      <c r="E122" s="100"/>
      <c r="F122" s="128" t="s">
        <v>34</v>
      </c>
      <c r="G122" s="95"/>
      <c r="H122" s="95"/>
      <c r="I122" s="96"/>
      <c r="J122" s="129"/>
      <c r="K122" s="91"/>
      <c r="L122" s="91"/>
      <c r="M122" s="91"/>
      <c r="N122" s="130"/>
      <c r="O122" s="119"/>
      <c r="P122" s="119"/>
      <c r="Q122" s="119"/>
      <c r="R122" s="130"/>
      <c r="S122" s="119"/>
      <c r="T122" s="119"/>
      <c r="U122" s="119"/>
      <c r="V122" s="130"/>
      <c r="W122" s="119"/>
      <c r="X122" s="119"/>
      <c r="Y122" s="119"/>
      <c r="Z122" s="130"/>
      <c r="AA122" s="119"/>
      <c r="AB122" s="119"/>
      <c r="AC122" s="119"/>
      <c r="AD122" s="130"/>
      <c r="AE122" s="119"/>
      <c r="AF122" s="119"/>
      <c r="AG122" s="119"/>
      <c r="AH122" s="130"/>
      <c r="AI122" s="119"/>
      <c r="AJ122" s="119"/>
      <c r="AK122" s="119"/>
      <c r="AL122" s="130"/>
      <c r="AM122" s="119"/>
      <c r="AN122" s="119"/>
      <c r="AO122" s="130">
        <f>SUM(J122:AK122)</f>
        <v>0</v>
      </c>
      <c r="AP122" s="119"/>
      <c r="AQ122" s="119"/>
      <c r="AR122" s="40"/>
      <c r="AS122" s="15"/>
    </row>
    <row r="123" spans="1:85" customHeight="1" ht="13.5">
      <c r="A123" s="4"/>
      <c r="B123" s="127"/>
      <c r="C123" s="105"/>
      <c r="D123" s="105"/>
      <c r="E123" s="100"/>
      <c r="F123" s="131" t="s">
        <v>35</v>
      </c>
      <c r="G123" s="116"/>
      <c r="H123" s="116"/>
      <c r="I123" s="117"/>
      <c r="J123" s="129"/>
      <c r="K123" s="91"/>
      <c r="L123" s="91"/>
      <c r="M123" s="91"/>
      <c r="N123" s="130"/>
      <c r="O123" s="119"/>
      <c r="P123" s="119"/>
      <c r="Q123" s="119"/>
      <c r="R123" s="130"/>
      <c r="S123" s="119"/>
      <c r="T123" s="119"/>
      <c r="U123" s="119"/>
      <c r="V123" s="130"/>
      <c r="W123" s="119"/>
      <c r="X123" s="119"/>
      <c r="Y123" s="119"/>
      <c r="Z123" s="130"/>
      <c r="AA123" s="119"/>
      <c r="AB123" s="119"/>
      <c r="AC123" s="119"/>
      <c r="AD123" s="130"/>
      <c r="AE123" s="119"/>
      <c r="AF123" s="119"/>
      <c r="AG123" s="119"/>
      <c r="AH123" s="130"/>
      <c r="AI123" s="119"/>
      <c r="AJ123" s="119"/>
      <c r="AK123" s="119"/>
      <c r="AL123" s="130"/>
      <c r="AM123" s="119"/>
      <c r="AN123" s="119"/>
      <c r="AO123" s="130">
        <f>SUM(J123:AK123)</f>
        <v>0</v>
      </c>
      <c r="AP123" s="119"/>
      <c r="AQ123" s="119"/>
      <c r="AR123" s="40"/>
      <c r="AS123" s="15"/>
    </row>
    <row r="124" spans="1:85" customHeight="1" ht="13.5">
      <c r="A124" s="4"/>
      <c r="B124" s="115"/>
      <c r="C124" s="116"/>
      <c r="D124" s="116"/>
      <c r="E124" s="117"/>
      <c r="F124" s="131" t="s">
        <v>36</v>
      </c>
      <c r="G124" s="116"/>
      <c r="H124" s="116"/>
      <c r="I124" s="117"/>
      <c r="J124" s="129">
        <f>SUM(J122:M123)</f>
        <v>0</v>
      </c>
      <c r="K124" s="91"/>
      <c r="L124" s="91"/>
      <c r="M124" s="91"/>
      <c r="N124" s="130">
        <f>SUM(N122:Q123)</f>
        <v>0</v>
      </c>
      <c r="O124" s="119"/>
      <c r="P124" s="119"/>
      <c r="Q124" s="119"/>
      <c r="R124" s="130">
        <f>SUM(R122:U123)</f>
        <v>0</v>
      </c>
      <c r="S124" s="119"/>
      <c r="T124" s="119"/>
      <c r="U124" s="119"/>
      <c r="V124" s="130">
        <f>SUM(V122:Y123)</f>
        <v>0</v>
      </c>
      <c r="W124" s="119"/>
      <c r="X124" s="119"/>
      <c r="Y124" s="119"/>
      <c r="Z124" s="130">
        <f>SUM(Z122:AC123)</f>
        <v>0</v>
      </c>
      <c r="AA124" s="119"/>
      <c r="AB124" s="119"/>
      <c r="AC124" s="119"/>
      <c r="AD124" s="130">
        <f>SUM(AD122:AG123)</f>
        <v>0</v>
      </c>
      <c r="AE124" s="119"/>
      <c r="AF124" s="119"/>
      <c r="AG124" s="119"/>
      <c r="AH124" s="130">
        <f>SUM(AH122:AK123)</f>
        <v>0</v>
      </c>
      <c r="AI124" s="119"/>
      <c r="AJ124" s="119"/>
      <c r="AK124" s="119"/>
      <c r="AL124" s="130">
        <f>SUM(AL122:AO123)</f>
        <v>0</v>
      </c>
      <c r="AM124" s="119"/>
      <c r="AN124" s="119"/>
      <c r="AO124" s="130">
        <f>SUM(AO122:AR123)</f>
        <v>0</v>
      </c>
      <c r="AP124" s="119"/>
      <c r="AQ124" s="119"/>
      <c r="AR124" s="40"/>
      <c r="AS124" s="15"/>
    </row>
    <row r="125" spans="1:85" customHeight="1" ht="13.5">
      <c r="A125" s="4"/>
      <c r="B125" s="126" t="s">
        <v>37</v>
      </c>
      <c r="C125" s="105"/>
      <c r="D125" s="105"/>
      <c r="E125" s="100"/>
      <c r="F125" s="128" t="s">
        <v>34</v>
      </c>
      <c r="G125" s="95"/>
      <c r="H125" s="95"/>
      <c r="I125" s="96"/>
      <c r="J125" s="133">
        <v>0</v>
      </c>
      <c r="K125" s="133"/>
      <c r="L125" s="133"/>
      <c r="M125" s="133"/>
      <c r="N125" s="130"/>
      <c r="O125" s="119"/>
      <c r="P125" s="119"/>
      <c r="Q125" s="119"/>
      <c r="R125" s="130"/>
      <c r="S125" s="119"/>
      <c r="T125" s="119"/>
      <c r="U125" s="119"/>
      <c r="V125" s="130"/>
      <c r="W125" s="119"/>
      <c r="X125" s="119"/>
      <c r="Y125" s="119"/>
      <c r="Z125" s="130"/>
      <c r="AA125" s="119"/>
      <c r="AB125" s="119"/>
      <c r="AC125" s="119"/>
      <c r="AD125" s="130"/>
      <c r="AE125" s="119"/>
      <c r="AF125" s="119"/>
      <c r="AG125" s="119"/>
      <c r="AH125" s="130"/>
      <c r="AI125" s="119"/>
      <c r="AJ125" s="119"/>
      <c r="AK125" s="119"/>
      <c r="AL125" s="130"/>
      <c r="AM125" s="119"/>
      <c r="AN125" s="119"/>
      <c r="AO125" s="130">
        <f>SUM(J125:AK125)</f>
        <v>0</v>
      </c>
      <c r="AP125" s="119"/>
      <c r="AQ125" s="119"/>
      <c r="AR125" s="40"/>
      <c r="AS125" s="15"/>
    </row>
    <row r="126" spans="1:85" customHeight="1" ht="13.5">
      <c r="A126" s="4"/>
      <c r="B126" s="127"/>
      <c r="C126" s="105"/>
      <c r="D126" s="105"/>
      <c r="E126" s="100"/>
      <c r="F126" s="131" t="s">
        <v>35</v>
      </c>
      <c r="G126" s="116"/>
      <c r="H126" s="116"/>
      <c r="I126" s="117"/>
      <c r="J126" s="133">
        <v>0</v>
      </c>
      <c r="K126" s="133"/>
      <c r="L126" s="133"/>
      <c r="M126" s="133"/>
      <c r="N126" s="130"/>
      <c r="O126" s="119"/>
      <c r="P126" s="119"/>
      <c r="Q126" s="119"/>
      <c r="R126" s="130"/>
      <c r="S126" s="119"/>
      <c r="T126" s="119"/>
      <c r="U126" s="119"/>
      <c r="V126" s="130"/>
      <c r="W126" s="119"/>
      <c r="X126" s="119"/>
      <c r="Y126" s="119"/>
      <c r="Z126" s="130"/>
      <c r="AA126" s="119"/>
      <c r="AB126" s="119"/>
      <c r="AC126" s="119"/>
      <c r="AD126" s="130"/>
      <c r="AE126" s="119"/>
      <c r="AF126" s="119"/>
      <c r="AG126" s="119"/>
      <c r="AH126" s="130"/>
      <c r="AI126" s="119"/>
      <c r="AJ126" s="119"/>
      <c r="AK126" s="119"/>
      <c r="AL126" s="130"/>
      <c r="AM126" s="119"/>
      <c r="AN126" s="119"/>
      <c r="AO126" s="130">
        <f>SUM(J126:AK126)</f>
        <v>0</v>
      </c>
      <c r="AP126" s="119"/>
      <c r="AQ126" s="119"/>
      <c r="AR126" s="40"/>
      <c r="AS126" s="15"/>
    </row>
    <row r="127" spans="1:85" customHeight="1" ht="13.5">
      <c r="A127" s="4"/>
      <c r="B127" s="115"/>
      <c r="C127" s="116"/>
      <c r="D127" s="116"/>
      <c r="E127" s="117"/>
      <c r="F127" s="131" t="s">
        <v>36</v>
      </c>
      <c r="G127" s="116"/>
      <c r="H127" s="116"/>
      <c r="I127" s="117"/>
      <c r="J127" s="133">
        <f>SUM(J126,J125)</f>
        <v>0</v>
      </c>
      <c r="K127" s="133"/>
      <c r="L127" s="133"/>
      <c r="M127" s="133"/>
      <c r="N127" s="130">
        <f>SUM(N125:Q126)</f>
        <v>0</v>
      </c>
      <c r="O127" s="119"/>
      <c r="P127" s="119"/>
      <c r="Q127" s="119"/>
      <c r="R127" s="130">
        <f>SUM(R125:U126)</f>
        <v>0</v>
      </c>
      <c r="S127" s="119"/>
      <c r="T127" s="119"/>
      <c r="U127" s="119"/>
      <c r="V127" s="130">
        <f>SUM(V125:Y126)</f>
        <v>0</v>
      </c>
      <c r="W127" s="119"/>
      <c r="X127" s="119"/>
      <c r="Y127" s="119"/>
      <c r="Z127" s="130">
        <f>SUM(Z125:AC126)</f>
        <v>0</v>
      </c>
      <c r="AA127" s="119"/>
      <c r="AB127" s="119"/>
      <c r="AC127" s="119"/>
      <c r="AD127" s="130">
        <f>SUM(AD125:AG126)</f>
        <v>0</v>
      </c>
      <c r="AE127" s="119"/>
      <c r="AF127" s="119"/>
      <c r="AG127" s="119"/>
      <c r="AH127" s="130">
        <f>SUM(AH125:AK126)</f>
        <v>0</v>
      </c>
      <c r="AI127" s="119"/>
      <c r="AJ127" s="119"/>
      <c r="AK127" s="119"/>
      <c r="AL127" s="130">
        <f>SUM(AL125:AO126)</f>
        <v>0</v>
      </c>
      <c r="AM127" s="119"/>
      <c r="AN127" s="119"/>
      <c r="AO127" s="130">
        <f>SUM(AO125:AR126)</f>
        <v>0</v>
      </c>
      <c r="AP127" s="119"/>
      <c r="AQ127" s="119"/>
      <c r="AR127" s="40"/>
      <c r="AS127" s="15"/>
    </row>
    <row r="128" spans="1:85" customHeight="1" ht="13.5">
      <c r="A128" s="4"/>
      <c r="B128" s="126" t="s">
        <v>38</v>
      </c>
      <c r="C128" s="105"/>
      <c r="D128" s="105"/>
      <c r="E128" s="100"/>
      <c r="F128" s="128" t="s">
        <v>34</v>
      </c>
      <c r="G128" s="95"/>
      <c r="H128" s="95"/>
      <c r="I128" s="96"/>
      <c r="J128" s="34"/>
      <c r="K128" s="35"/>
      <c r="L128" s="35"/>
      <c r="M128" s="54"/>
      <c r="N128" s="130"/>
      <c r="O128" s="119"/>
      <c r="P128" s="119"/>
      <c r="Q128" s="119"/>
      <c r="R128" s="130"/>
      <c r="S128" s="119"/>
      <c r="T128" s="119"/>
      <c r="U128" s="119"/>
      <c r="V128" s="130"/>
      <c r="W128" s="119"/>
      <c r="X128" s="119"/>
      <c r="Y128" s="119"/>
      <c r="Z128" s="130"/>
      <c r="AA128" s="119"/>
      <c r="AB128" s="119"/>
      <c r="AC128" s="119"/>
      <c r="AD128" s="130"/>
      <c r="AE128" s="119"/>
      <c r="AF128" s="119"/>
      <c r="AG128" s="119"/>
      <c r="AH128" s="130"/>
      <c r="AI128" s="119"/>
      <c r="AJ128" s="119"/>
      <c r="AK128" s="119"/>
      <c r="AL128" s="130"/>
      <c r="AM128" s="119"/>
      <c r="AN128" s="119"/>
      <c r="AO128" s="130">
        <f>SUM(J128:AK128)</f>
        <v>0</v>
      </c>
      <c r="AP128" s="119"/>
      <c r="AQ128" s="119"/>
      <c r="AR128" s="40"/>
      <c r="AS128" s="15"/>
    </row>
    <row r="129" spans="1:85" customHeight="1" ht="13.5">
      <c r="A129" s="4"/>
      <c r="B129" s="127"/>
      <c r="C129" s="105"/>
      <c r="D129" s="105"/>
      <c r="E129" s="100"/>
      <c r="F129" s="131" t="s">
        <v>35</v>
      </c>
      <c r="G129" s="116"/>
      <c r="H129" s="116"/>
      <c r="I129" s="117"/>
      <c r="J129" s="34"/>
      <c r="K129" s="35"/>
      <c r="L129" s="35"/>
      <c r="M129" s="54"/>
      <c r="N129" s="130"/>
      <c r="O129" s="119"/>
      <c r="P129" s="119"/>
      <c r="Q129" s="119"/>
      <c r="R129" s="130"/>
      <c r="S129" s="119"/>
      <c r="T129" s="119"/>
      <c r="U129" s="119"/>
      <c r="V129" s="130"/>
      <c r="W129" s="119"/>
      <c r="X129" s="119"/>
      <c r="Y129" s="119"/>
      <c r="Z129" s="130"/>
      <c r="AA129" s="119"/>
      <c r="AB129" s="119"/>
      <c r="AC129" s="119"/>
      <c r="AD129" s="130"/>
      <c r="AE129" s="119"/>
      <c r="AF129" s="119"/>
      <c r="AG129" s="119"/>
      <c r="AH129" s="130"/>
      <c r="AI129" s="119"/>
      <c r="AJ129" s="119"/>
      <c r="AK129" s="119"/>
      <c r="AL129" s="130"/>
      <c r="AM129" s="119"/>
      <c r="AN129" s="119"/>
      <c r="AO129" s="130">
        <f>SUM(J129:AK129)</f>
        <v>0</v>
      </c>
      <c r="AP129" s="119"/>
      <c r="AQ129" s="119"/>
      <c r="AR129" s="40"/>
      <c r="AS129" s="15"/>
    </row>
    <row r="130" spans="1:85" customHeight="1" ht="13.5">
      <c r="A130" s="4"/>
      <c r="B130" s="115"/>
      <c r="C130" s="116"/>
      <c r="D130" s="116"/>
      <c r="E130" s="117"/>
      <c r="F130" s="131" t="s">
        <v>36</v>
      </c>
      <c r="G130" s="116"/>
      <c r="H130" s="116"/>
      <c r="I130" s="117"/>
      <c r="J130" s="34"/>
      <c r="K130" s="35"/>
      <c r="L130" s="35"/>
      <c r="M130" s="54"/>
      <c r="N130" s="130">
        <f>SUM(N128:Q129)</f>
        <v>0</v>
      </c>
      <c r="O130" s="119"/>
      <c r="P130" s="119"/>
      <c r="Q130" s="119"/>
      <c r="R130" s="130">
        <f>SUM(R128:U129)</f>
        <v>0</v>
      </c>
      <c r="S130" s="119"/>
      <c r="T130" s="119"/>
      <c r="U130" s="119"/>
      <c r="V130" s="130">
        <f>SUM(V128:Y129)</f>
        <v>0</v>
      </c>
      <c r="W130" s="119"/>
      <c r="X130" s="119"/>
      <c r="Y130" s="119"/>
      <c r="Z130" s="130">
        <f>SUM(Z128:AC129)</f>
        <v>0</v>
      </c>
      <c r="AA130" s="119"/>
      <c r="AB130" s="119"/>
      <c r="AC130" s="119"/>
      <c r="AD130" s="130">
        <f>SUM(AD128:AG129)</f>
        <v>0</v>
      </c>
      <c r="AE130" s="119"/>
      <c r="AF130" s="119"/>
      <c r="AG130" s="119"/>
      <c r="AH130" s="130">
        <f>SUM(AH128:AK129)</f>
        <v>0</v>
      </c>
      <c r="AI130" s="119"/>
      <c r="AJ130" s="119"/>
      <c r="AK130" s="119"/>
      <c r="AL130" s="130">
        <f>SUM(AL128:AO129)</f>
        <v>0</v>
      </c>
      <c r="AM130" s="119"/>
      <c r="AN130" s="119"/>
      <c r="AO130" s="130">
        <f>SUM(AO128:AR129)</f>
        <v>0</v>
      </c>
      <c r="AP130" s="119"/>
      <c r="AQ130" s="119"/>
      <c r="AR130" s="40"/>
      <c r="AS130" s="15"/>
    </row>
    <row r="131" spans="1:85" customHeight="1" ht="13.5">
      <c r="A131" s="4"/>
      <c r="B131" s="126" t="s">
        <v>39</v>
      </c>
      <c r="C131" s="105"/>
      <c r="D131" s="105"/>
      <c r="E131" s="100"/>
      <c r="F131" s="128" t="s">
        <v>34</v>
      </c>
      <c r="G131" s="95"/>
      <c r="H131" s="95"/>
      <c r="I131" s="96"/>
      <c r="J131" s="34"/>
      <c r="K131" s="35"/>
      <c r="L131" s="35"/>
      <c r="M131" s="54"/>
      <c r="N131" s="130"/>
      <c r="O131" s="119"/>
      <c r="P131" s="119"/>
      <c r="Q131" s="119"/>
      <c r="R131" s="130"/>
      <c r="S131" s="119"/>
      <c r="T131" s="119"/>
      <c r="U131" s="119"/>
      <c r="V131" s="130"/>
      <c r="W131" s="119"/>
      <c r="X131" s="119"/>
      <c r="Y131" s="119"/>
      <c r="Z131" s="130"/>
      <c r="AA131" s="119"/>
      <c r="AB131" s="119"/>
      <c r="AC131" s="119"/>
      <c r="AD131" s="130"/>
      <c r="AE131" s="119"/>
      <c r="AF131" s="119"/>
      <c r="AG131" s="119"/>
      <c r="AH131" s="130"/>
      <c r="AI131" s="119"/>
      <c r="AJ131" s="119"/>
      <c r="AK131" s="119"/>
      <c r="AL131" s="130"/>
      <c r="AM131" s="119"/>
      <c r="AN131" s="119"/>
      <c r="AO131" s="130">
        <f>SUM(J131:AK131)</f>
        <v>0</v>
      </c>
      <c r="AP131" s="119"/>
      <c r="AQ131" s="119"/>
      <c r="AR131" s="40"/>
      <c r="AS131" s="15"/>
    </row>
    <row r="132" spans="1:85" customHeight="1" ht="13.5">
      <c r="A132" s="4"/>
      <c r="B132" s="127"/>
      <c r="C132" s="105"/>
      <c r="D132" s="105"/>
      <c r="E132" s="100"/>
      <c r="F132" s="131" t="s">
        <v>35</v>
      </c>
      <c r="G132" s="116"/>
      <c r="H132" s="116"/>
      <c r="I132" s="117"/>
      <c r="J132" s="34"/>
      <c r="K132" s="35"/>
      <c r="L132" s="35"/>
      <c r="M132" s="54"/>
      <c r="N132" s="130"/>
      <c r="O132" s="119"/>
      <c r="P132" s="119"/>
      <c r="Q132" s="119"/>
      <c r="R132" s="130"/>
      <c r="S132" s="119"/>
      <c r="T132" s="119"/>
      <c r="U132" s="119"/>
      <c r="V132" s="130"/>
      <c r="W132" s="119"/>
      <c r="X132" s="119"/>
      <c r="Y132" s="119"/>
      <c r="Z132" s="130"/>
      <c r="AA132" s="119"/>
      <c r="AB132" s="119"/>
      <c r="AC132" s="119"/>
      <c r="AD132" s="130"/>
      <c r="AE132" s="119"/>
      <c r="AF132" s="119"/>
      <c r="AG132" s="119"/>
      <c r="AH132" s="130"/>
      <c r="AI132" s="119"/>
      <c r="AJ132" s="119"/>
      <c r="AK132" s="119"/>
      <c r="AL132" s="130"/>
      <c r="AM132" s="119"/>
      <c r="AN132" s="119"/>
      <c r="AO132" s="130">
        <f>SUM(J132:AK132)</f>
        <v>0</v>
      </c>
      <c r="AP132" s="119"/>
      <c r="AQ132" s="119"/>
      <c r="AR132" s="40"/>
      <c r="AS132" s="15"/>
    </row>
    <row r="133" spans="1:85" customHeight="1" ht="13.5">
      <c r="A133" s="4"/>
      <c r="B133" s="115"/>
      <c r="C133" s="116"/>
      <c r="D133" s="116"/>
      <c r="E133" s="117"/>
      <c r="F133" s="131" t="s">
        <v>36</v>
      </c>
      <c r="G133" s="116"/>
      <c r="H133" s="116"/>
      <c r="I133" s="117"/>
      <c r="J133" s="34"/>
      <c r="K133" s="35"/>
      <c r="L133" s="35"/>
      <c r="M133" s="54"/>
      <c r="N133" s="130">
        <f>SUM(N131:Q132)</f>
        <v>0</v>
      </c>
      <c r="O133" s="119"/>
      <c r="P133" s="119"/>
      <c r="Q133" s="119"/>
      <c r="R133" s="130">
        <f>SUM(R131:U132)</f>
        <v>0</v>
      </c>
      <c r="S133" s="119"/>
      <c r="T133" s="119"/>
      <c r="U133" s="119"/>
      <c r="V133" s="130">
        <f>SUM(V131:Y132)</f>
        <v>0</v>
      </c>
      <c r="W133" s="119"/>
      <c r="X133" s="119"/>
      <c r="Y133" s="119"/>
      <c r="Z133" s="130">
        <f>SUM(Z131:AC132)</f>
        <v>0</v>
      </c>
      <c r="AA133" s="119"/>
      <c r="AB133" s="119"/>
      <c r="AC133" s="119"/>
      <c r="AD133" s="130">
        <f>SUM(AD131:AG132)</f>
        <v>0</v>
      </c>
      <c r="AE133" s="119"/>
      <c r="AF133" s="119"/>
      <c r="AG133" s="119"/>
      <c r="AH133" s="130">
        <f>SUM(AH131:AK132)</f>
        <v>0</v>
      </c>
      <c r="AI133" s="119"/>
      <c r="AJ133" s="119"/>
      <c r="AK133" s="119"/>
      <c r="AL133" s="130">
        <f>SUM(AL131:AO132)</f>
        <v>0</v>
      </c>
      <c r="AM133" s="119"/>
      <c r="AN133" s="119"/>
      <c r="AO133" s="130">
        <f>SUM(AO131:AR132)</f>
        <v>0</v>
      </c>
      <c r="AP133" s="119"/>
      <c r="AQ133" s="119"/>
      <c r="AR133" s="40"/>
      <c r="AS133" s="15"/>
    </row>
    <row r="134" spans="1:85" customHeight="1" ht="13.5">
      <c r="A134" s="4"/>
      <c r="B134" s="126" t="s">
        <v>40</v>
      </c>
      <c r="C134" s="105"/>
      <c r="D134" s="105"/>
      <c r="E134" s="100"/>
      <c r="F134" s="128" t="s">
        <v>34</v>
      </c>
      <c r="G134" s="95"/>
      <c r="H134" s="95"/>
      <c r="I134" s="96"/>
      <c r="J134" s="34"/>
      <c r="K134" s="35"/>
      <c r="L134" s="35"/>
      <c r="M134" s="54"/>
      <c r="N134" s="130"/>
      <c r="O134" s="119"/>
      <c r="P134" s="119"/>
      <c r="Q134" s="119"/>
      <c r="R134" s="130"/>
      <c r="S134" s="119"/>
      <c r="T134" s="119"/>
      <c r="U134" s="119"/>
      <c r="V134" s="130"/>
      <c r="W134" s="119"/>
      <c r="X134" s="119"/>
      <c r="Y134" s="119"/>
      <c r="Z134" s="130"/>
      <c r="AA134" s="119"/>
      <c r="AB134" s="119"/>
      <c r="AC134" s="119"/>
      <c r="AD134" s="130"/>
      <c r="AE134" s="119"/>
      <c r="AF134" s="119"/>
      <c r="AG134" s="119"/>
      <c r="AH134" s="130"/>
      <c r="AI134" s="119"/>
      <c r="AJ134" s="119"/>
      <c r="AK134" s="119"/>
      <c r="AL134" s="130"/>
      <c r="AM134" s="119"/>
      <c r="AN134" s="119"/>
      <c r="AO134" s="130">
        <f>SUM(J134:AK134)</f>
        <v>0</v>
      </c>
      <c r="AP134" s="119"/>
      <c r="AQ134" s="119"/>
      <c r="AR134" s="40"/>
      <c r="AS134" s="15"/>
    </row>
    <row r="135" spans="1:85" customHeight="1" ht="13.5">
      <c r="A135" s="4"/>
      <c r="B135" s="127"/>
      <c r="C135" s="105"/>
      <c r="D135" s="105"/>
      <c r="E135" s="100"/>
      <c r="F135" s="131" t="s">
        <v>35</v>
      </c>
      <c r="G135" s="116"/>
      <c r="H135" s="116"/>
      <c r="I135" s="117"/>
      <c r="J135" s="34"/>
      <c r="K135" s="35"/>
      <c r="L135" s="35"/>
      <c r="M135" s="54"/>
      <c r="N135" s="130"/>
      <c r="O135" s="119"/>
      <c r="P135" s="119"/>
      <c r="Q135" s="119"/>
      <c r="R135" s="130"/>
      <c r="S135" s="119"/>
      <c r="T135" s="119"/>
      <c r="U135" s="119"/>
      <c r="V135" s="130"/>
      <c r="W135" s="119"/>
      <c r="X135" s="119"/>
      <c r="Y135" s="119"/>
      <c r="Z135" s="130"/>
      <c r="AA135" s="119"/>
      <c r="AB135" s="119"/>
      <c r="AC135" s="119"/>
      <c r="AD135" s="130"/>
      <c r="AE135" s="119"/>
      <c r="AF135" s="119"/>
      <c r="AG135" s="119"/>
      <c r="AH135" s="130"/>
      <c r="AI135" s="119"/>
      <c r="AJ135" s="119"/>
      <c r="AK135" s="119"/>
      <c r="AL135" s="130"/>
      <c r="AM135" s="119"/>
      <c r="AN135" s="119"/>
      <c r="AO135" s="130">
        <f>SUM(J135:AK135)</f>
        <v>0</v>
      </c>
      <c r="AP135" s="119"/>
      <c r="AQ135" s="119"/>
      <c r="AR135" s="40"/>
      <c r="AS135" s="15"/>
    </row>
    <row r="136" spans="1:85" customHeight="1" ht="13.5">
      <c r="A136" s="4"/>
      <c r="B136" s="115"/>
      <c r="C136" s="116"/>
      <c r="D136" s="116"/>
      <c r="E136" s="117"/>
      <c r="F136" s="131" t="s">
        <v>36</v>
      </c>
      <c r="G136" s="116"/>
      <c r="H136" s="116"/>
      <c r="I136" s="117"/>
      <c r="J136" s="34"/>
      <c r="K136" s="35"/>
      <c r="L136" s="35"/>
      <c r="M136" s="54"/>
      <c r="N136" s="130">
        <f>SUM(N134:Q135)</f>
        <v>0</v>
      </c>
      <c r="O136" s="119"/>
      <c r="P136" s="119"/>
      <c r="Q136" s="119"/>
      <c r="R136" s="130">
        <f>SUM(R134:U135)</f>
        <v>0</v>
      </c>
      <c r="S136" s="119"/>
      <c r="T136" s="119"/>
      <c r="U136" s="119"/>
      <c r="V136" s="130">
        <f>SUM(V134:Y135)</f>
        <v>0</v>
      </c>
      <c r="W136" s="119"/>
      <c r="X136" s="119"/>
      <c r="Y136" s="119"/>
      <c r="Z136" s="130">
        <f>SUM(Z134:AC135)</f>
        <v>0</v>
      </c>
      <c r="AA136" s="119"/>
      <c r="AB136" s="119"/>
      <c r="AC136" s="119"/>
      <c r="AD136" s="130">
        <f>SUM(AD134:AG135)</f>
        <v>0</v>
      </c>
      <c r="AE136" s="119"/>
      <c r="AF136" s="119"/>
      <c r="AG136" s="119"/>
      <c r="AH136" s="130">
        <f>SUM(AH134:AK135)</f>
        <v>0</v>
      </c>
      <c r="AI136" s="119"/>
      <c r="AJ136" s="119"/>
      <c r="AK136" s="119"/>
      <c r="AL136" s="130">
        <f>SUM(AL134:AO135)</f>
        <v>0</v>
      </c>
      <c r="AM136" s="119"/>
      <c r="AN136" s="119"/>
      <c r="AO136" s="130">
        <f>SUM(AO134:AR135)</f>
        <v>0</v>
      </c>
      <c r="AP136" s="119"/>
      <c r="AQ136" s="119"/>
      <c r="AR136" s="40"/>
      <c r="AS136" s="15"/>
    </row>
    <row r="137" spans="1:85" customHeight="1" ht="13.5">
      <c r="A137" s="4"/>
      <c r="B137" s="126" t="s">
        <v>41</v>
      </c>
      <c r="C137" s="105"/>
      <c r="D137" s="105"/>
      <c r="E137" s="100"/>
      <c r="F137" s="128" t="s">
        <v>34</v>
      </c>
      <c r="G137" s="95"/>
      <c r="H137" s="95"/>
      <c r="I137" s="96"/>
      <c r="J137" s="34"/>
      <c r="K137" s="35"/>
      <c r="L137" s="35"/>
      <c r="M137" s="54"/>
      <c r="N137" s="130"/>
      <c r="O137" s="119"/>
      <c r="P137" s="119"/>
      <c r="Q137" s="119"/>
      <c r="R137" s="130"/>
      <c r="S137" s="119"/>
      <c r="T137" s="119"/>
      <c r="U137" s="119"/>
      <c r="V137" s="130"/>
      <c r="W137" s="119"/>
      <c r="X137" s="119"/>
      <c r="Y137" s="119"/>
      <c r="Z137" s="130"/>
      <c r="AA137" s="119"/>
      <c r="AB137" s="119"/>
      <c r="AC137" s="119"/>
      <c r="AD137" s="130"/>
      <c r="AE137" s="119"/>
      <c r="AF137" s="119"/>
      <c r="AG137" s="119"/>
      <c r="AH137" s="130"/>
      <c r="AI137" s="119"/>
      <c r="AJ137" s="119"/>
      <c r="AK137" s="119"/>
      <c r="AL137" s="130"/>
      <c r="AM137" s="119"/>
      <c r="AN137" s="119"/>
      <c r="AO137" s="130">
        <f>SUM(J137:AK137)</f>
        <v>0</v>
      </c>
      <c r="AP137" s="119"/>
      <c r="AQ137" s="119"/>
      <c r="AR137" s="40"/>
      <c r="AS137" s="15"/>
    </row>
    <row r="138" spans="1:85" customHeight="1" ht="13.5">
      <c r="A138" s="4"/>
      <c r="B138" s="127"/>
      <c r="C138" s="105"/>
      <c r="D138" s="105"/>
      <c r="E138" s="100"/>
      <c r="F138" s="131" t="s">
        <v>35</v>
      </c>
      <c r="G138" s="116"/>
      <c r="H138" s="116"/>
      <c r="I138" s="117"/>
      <c r="J138" s="34"/>
      <c r="K138" s="35"/>
      <c r="L138" s="35"/>
      <c r="M138" s="54"/>
      <c r="N138" s="130"/>
      <c r="O138" s="119"/>
      <c r="P138" s="119"/>
      <c r="Q138" s="119"/>
      <c r="R138" s="130"/>
      <c r="S138" s="119"/>
      <c r="T138" s="119"/>
      <c r="U138" s="119"/>
      <c r="V138" s="130"/>
      <c r="W138" s="119"/>
      <c r="X138" s="119"/>
      <c r="Y138" s="119"/>
      <c r="Z138" s="130"/>
      <c r="AA138" s="119"/>
      <c r="AB138" s="119"/>
      <c r="AC138" s="119"/>
      <c r="AD138" s="130"/>
      <c r="AE138" s="119"/>
      <c r="AF138" s="119"/>
      <c r="AG138" s="119"/>
      <c r="AH138" s="130"/>
      <c r="AI138" s="119"/>
      <c r="AJ138" s="119"/>
      <c r="AK138" s="119"/>
      <c r="AL138" s="130"/>
      <c r="AM138" s="119"/>
      <c r="AN138" s="119"/>
      <c r="AO138" s="130">
        <f>SUM(J138:AK138)</f>
        <v>0</v>
      </c>
      <c r="AP138" s="119"/>
      <c r="AQ138" s="119"/>
      <c r="AR138" s="40"/>
      <c r="AS138" s="15"/>
    </row>
    <row r="139" spans="1:85" customHeight="1" ht="13.5">
      <c r="A139" s="4"/>
      <c r="B139" s="115"/>
      <c r="C139" s="116"/>
      <c r="D139" s="116"/>
      <c r="E139" s="117"/>
      <c r="F139" s="131" t="s">
        <v>36</v>
      </c>
      <c r="G139" s="116"/>
      <c r="H139" s="116"/>
      <c r="I139" s="117"/>
      <c r="J139" s="34"/>
      <c r="K139" s="35"/>
      <c r="L139" s="35"/>
      <c r="M139" s="54"/>
      <c r="N139" s="130">
        <f>SUM(N137:Q138)</f>
        <v>0</v>
      </c>
      <c r="O139" s="119"/>
      <c r="P139" s="119"/>
      <c r="Q139" s="119"/>
      <c r="R139" s="130">
        <f>SUM(R137:U138)</f>
        <v>0</v>
      </c>
      <c r="S139" s="119"/>
      <c r="T139" s="119"/>
      <c r="U139" s="119"/>
      <c r="V139" s="130">
        <f>SUM(V137:Y138)</f>
        <v>0</v>
      </c>
      <c r="W139" s="119"/>
      <c r="X139" s="119"/>
      <c r="Y139" s="119"/>
      <c r="Z139" s="130">
        <f>SUM(Z137:AC138)</f>
        <v>0</v>
      </c>
      <c r="AA139" s="119"/>
      <c r="AB139" s="119"/>
      <c r="AC139" s="119"/>
      <c r="AD139" s="130">
        <f>SUM(AD137:AG138)</f>
        <v>0</v>
      </c>
      <c r="AE139" s="119"/>
      <c r="AF139" s="119"/>
      <c r="AG139" s="119"/>
      <c r="AH139" s="130">
        <f>SUM(AH137:AK138)</f>
        <v>0</v>
      </c>
      <c r="AI139" s="119"/>
      <c r="AJ139" s="119"/>
      <c r="AK139" s="119"/>
      <c r="AL139" s="130">
        <f>SUM(AL137:AO138)</f>
        <v>0</v>
      </c>
      <c r="AM139" s="119"/>
      <c r="AN139" s="119"/>
      <c r="AO139" s="130">
        <f>SUM(AO137:AR138)</f>
        <v>0</v>
      </c>
      <c r="AP139" s="119"/>
      <c r="AQ139" s="119"/>
      <c r="AR139" s="40"/>
      <c r="AS139" s="15"/>
    </row>
    <row r="140" spans="1:85" customHeight="1" ht="13.5">
      <c r="A140" s="4"/>
      <c r="B140" s="126" t="s">
        <v>42</v>
      </c>
      <c r="C140" s="105"/>
      <c r="D140" s="105"/>
      <c r="E140" s="100"/>
      <c r="F140" s="128" t="s">
        <v>34</v>
      </c>
      <c r="G140" s="95"/>
      <c r="H140" s="95"/>
      <c r="I140" s="96"/>
      <c r="J140" s="34"/>
      <c r="K140" s="35"/>
      <c r="L140" s="35"/>
      <c r="M140" s="54"/>
      <c r="N140" s="130"/>
      <c r="O140" s="119"/>
      <c r="P140" s="119"/>
      <c r="Q140" s="119"/>
      <c r="R140" s="130"/>
      <c r="S140" s="119"/>
      <c r="T140" s="119"/>
      <c r="U140" s="119"/>
      <c r="V140" s="130"/>
      <c r="W140" s="119"/>
      <c r="X140" s="119"/>
      <c r="Y140" s="119"/>
      <c r="Z140" s="130"/>
      <c r="AA140" s="119"/>
      <c r="AB140" s="119"/>
      <c r="AC140" s="119"/>
      <c r="AD140" s="130"/>
      <c r="AE140" s="119"/>
      <c r="AF140" s="119"/>
      <c r="AG140" s="119"/>
      <c r="AH140" s="130"/>
      <c r="AI140" s="119"/>
      <c r="AJ140" s="119"/>
      <c r="AK140" s="119"/>
      <c r="AL140" s="130"/>
      <c r="AM140" s="119"/>
      <c r="AN140" s="119"/>
      <c r="AO140" s="130">
        <f>SUM(J140:AK140)</f>
        <v>0</v>
      </c>
      <c r="AP140" s="119"/>
      <c r="AQ140" s="119"/>
      <c r="AR140" s="40"/>
      <c r="AS140" s="15"/>
    </row>
    <row r="141" spans="1:85" customHeight="1" ht="13.5">
      <c r="A141" s="4"/>
      <c r="B141" s="127"/>
      <c r="C141" s="105"/>
      <c r="D141" s="105"/>
      <c r="E141" s="100"/>
      <c r="F141" s="131" t="s">
        <v>35</v>
      </c>
      <c r="G141" s="116"/>
      <c r="H141" s="116"/>
      <c r="I141" s="117"/>
      <c r="J141" s="34"/>
      <c r="K141" s="35"/>
      <c r="L141" s="35"/>
      <c r="M141" s="54"/>
      <c r="N141" s="130"/>
      <c r="O141" s="119"/>
      <c r="P141" s="119"/>
      <c r="Q141" s="119"/>
      <c r="R141" s="130"/>
      <c r="S141" s="119"/>
      <c r="T141" s="119"/>
      <c r="U141" s="119"/>
      <c r="V141" s="130"/>
      <c r="W141" s="119"/>
      <c r="X141" s="119"/>
      <c r="Y141" s="119"/>
      <c r="Z141" s="130"/>
      <c r="AA141" s="119"/>
      <c r="AB141" s="119"/>
      <c r="AC141" s="119"/>
      <c r="AD141" s="130"/>
      <c r="AE141" s="119"/>
      <c r="AF141" s="119"/>
      <c r="AG141" s="119"/>
      <c r="AH141" s="130"/>
      <c r="AI141" s="119"/>
      <c r="AJ141" s="119"/>
      <c r="AK141" s="119"/>
      <c r="AL141" s="130"/>
      <c r="AM141" s="119"/>
      <c r="AN141" s="119"/>
      <c r="AO141" s="130">
        <f>SUM(J141:AK141)</f>
        <v>0</v>
      </c>
      <c r="AP141" s="119"/>
      <c r="AQ141" s="119"/>
      <c r="AR141" s="40"/>
      <c r="AS141" s="15"/>
    </row>
    <row r="142" spans="1:85" customHeight="1" ht="13.5">
      <c r="A142" s="4"/>
      <c r="B142" s="115"/>
      <c r="C142" s="116"/>
      <c r="D142" s="116"/>
      <c r="E142" s="117"/>
      <c r="F142" s="131" t="s">
        <v>36</v>
      </c>
      <c r="G142" s="116"/>
      <c r="H142" s="116"/>
      <c r="I142" s="117"/>
      <c r="J142" s="34"/>
      <c r="K142" s="35"/>
      <c r="L142" s="35"/>
      <c r="M142" s="54"/>
      <c r="N142" s="130">
        <f>SUM(N140:Q141)</f>
        <v>0</v>
      </c>
      <c r="O142" s="119"/>
      <c r="P142" s="119"/>
      <c r="Q142" s="119"/>
      <c r="R142" s="130">
        <f>SUM(R140:U141)</f>
        <v>0</v>
      </c>
      <c r="S142" s="119"/>
      <c r="T142" s="119"/>
      <c r="U142" s="119"/>
      <c r="V142" s="130">
        <f>SUM(V140:Y141)</f>
        <v>0</v>
      </c>
      <c r="W142" s="119"/>
      <c r="X142" s="119"/>
      <c r="Y142" s="119"/>
      <c r="Z142" s="130">
        <f>SUM(Z140:AC141)</f>
        <v>0</v>
      </c>
      <c r="AA142" s="119"/>
      <c r="AB142" s="119"/>
      <c r="AC142" s="119"/>
      <c r="AD142" s="130">
        <f>SUM(AD140:AG141)</f>
        <v>0</v>
      </c>
      <c r="AE142" s="119"/>
      <c r="AF142" s="119"/>
      <c r="AG142" s="119"/>
      <c r="AH142" s="130">
        <f>SUM(AH140:AK141)</f>
        <v>0</v>
      </c>
      <c r="AI142" s="119"/>
      <c r="AJ142" s="119"/>
      <c r="AK142" s="119"/>
      <c r="AL142" s="130">
        <f>SUM(AL140:AO141)</f>
        <v>0</v>
      </c>
      <c r="AM142" s="119"/>
      <c r="AN142" s="119"/>
      <c r="AO142" s="130">
        <f>SUM(AO140:AR141)</f>
        <v>0</v>
      </c>
      <c r="AP142" s="119"/>
      <c r="AQ142" s="119"/>
      <c r="AR142" s="40"/>
      <c r="AS142" s="15"/>
    </row>
    <row r="143" spans="1:85" customHeight="1" ht="13.5">
      <c r="A143" s="4"/>
      <c r="B143" s="126" t="s">
        <v>43</v>
      </c>
      <c r="C143" s="105"/>
      <c r="D143" s="105"/>
      <c r="E143" s="100"/>
      <c r="F143" s="128" t="s">
        <v>34</v>
      </c>
      <c r="G143" s="95"/>
      <c r="H143" s="95"/>
      <c r="I143" s="96"/>
      <c r="J143" s="34"/>
      <c r="K143" s="35"/>
      <c r="L143" s="35"/>
      <c r="M143" s="54"/>
      <c r="N143" s="130"/>
      <c r="O143" s="119"/>
      <c r="P143" s="119"/>
      <c r="Q143" s="119"/>
      <c r="R143" s="130"/>
      <c r="S143" s="119"/>
      <c r="T143" s="119"/>
      <c r="U143" s="119"/>
      <c r="V143" s="130"/>
      <c r="W143" s="119"/>
      <c r="X143" s="119"/>
      <c r="Y143" s="119"/>
      <c r="Z143" s="130"/>
      <c r="AA143" s="119"/>
      <c r="AB143" s="119"/>
      <c r="AC143" s="119"/>
      <c r="AD143" s="130"/>
      <c r="AE143" s="119"/>
      <c r="AF143" s="119"/>
      <c r="AG143" s="119"/>
      <c r="AH143" s="130"/>
      <c r="AI143" s="119"/>
      <c r="AJ143" s="119"/>
      <c r="AK143" s="119"/>
      <c r="AL143" s="130"/>
      <c r="AM143" s="119"/>
      <c r="AN143" s="119"/>
      <c r="AO143" s="130">
        <f>SUM(J143:AK143)</f>
        <v>0</v>
      </c>
      <c r="AP143" s="119"/>
      <c r="AQ143" s="119"/>
      <c r="AR143" s="40"/>
      <c r="AS143" s="15"/>
    </row>
    <row r="144" spans="1:85" customHeight="1" ht="13.5">
      <c r="A144" s="4"/>
      <c r="B144" s="127"/>
      <c r="C144" s="105"/>
      <c r="D144" s="105"/>
      <c r="E144" s="100"/>
      <c r="F144" s="131" t="s">
        <v>35</v>
      </c>
      <c r="G144" s="116"/>
      <c r="H144" s="116"/>
      <c r="I144" s="117"/>
      <c r="J144" s="34"/>
      <c r="K144" s="35"/>
      <c r="L144" s="35"/>
      <c r="M144" s="54"/>
      <c r="N144" s="130"/>
      <c r="O144" s="119"/>
      <c r="P144" s="119"/>
      <c r="Q144" s="119"/>
      <c r="R144" s="130"/>
      <c r="S144" s="119"/>
      <c r="T144" s="119"/>
      <c r="U144" s="119"/>
      <c r="V144" s="130"/>
      <c r="W144" s="119"/>
      <c r="X144" s="119"/>
      <c r="Y144" s="119"/>
      <c r="Z144" s="130"/>
      <c r="AA144" s="119"/>
      <c r="AB144" s="119"/>
      <c r="AC144" s="119"/>
      <c r="AD144" s="130"/>
      <c r="AE144" s="119"/>
      <c r="AF144" s="119"/>
      <c r="AG144" s="119"/>
      <c r="AH144" s="130"/>
      <c r="AI144" s="119"/>
      <c r="AJ144" s="119"/>
      <c r="AK144" s="119"/>
      <c r="AL144" s="130"/>
      <c r="AM144" s="119"/>
      <c r="AN144" s="119"/>
      <c r="AO144" s="130">
        <f>SUM(J144:AK144)</f>
        <v>0</v>
      </c>
      <c r="AP144" s="119"/>
      <c r="AQ144" s="119"/>
      <c r="AR144" s="40"/>
      <c r="AS144" s="15"/>
    </row>
    <row r="145" spans="1:85" customHeight="1" ht="13.5">
      <c r="A145" s="4"/>
      <c r="B145" s="115"/>
      <c r="C145" s="116"/>
      <c r="D145" s="116"/>
      <c r="E145" s="117"/>
      <c r="F145" s="131" t="s">
        <v>36</v>
      </c>
      <c r="G145" s="116"/>
      <c r="H145" s="116"/>
      <c r="I145" s="117"/>
      <c r="J145" s="34"/>
      <c r="K145" s="35"/>
      <c r="L145" s="35"/>
      <c r="M145" s="54"/>
      <c r="N145" s="130">
        <f>SUM(N143:Q144)</f>
        <v>0</v>
      </c>
      <c r="O145" s="119"/>
      <c r="P145" s="119"/>
      <c r="Q145" s="119"/>
      <c r="R145" s="130">
        <f>SUM(R143:U144)</f>
        <v>0</v>
      </c>
      <c r="S145" s="119"/>
      <c r="T145" s="119"/>
      <c r="U145" s="119"/>
      <c r="V145" s="130">
        <f>SUM(V143:Y144)</f>
        <v>0</v>
      </c>
      <c r="W145" s="119"/>
      <c r="X145" s="119"/>
      <c r="Y145" s="119"/>
      <c r="Z145" s="130">
        <f>SUM(Z143:AC144)</f>
        <v>0</v>
      </c>
      <c r="AA145" s="119"/>
      <c r="AB145" s="119"/>
      <c r="AC145" s="119"/>
      <c r="AD145" s="130">
        <f>SUM(AD143:AG144)</f>
        <v>0</v>
      </c>
      <c r="AE145" s="119"/>
      <c r="AF145" s="119"/>
      <c r="AG145" s="119"/>
      <c r="AH145" s="130">
        <f>SUM(AH143:AK144)</f>
        <v>0</v>
      </c>
      <c r="AI145" s="119"/>
      <c r="AJ145" s="119"/>
      <c r="AK145" s="119"/>
      <c r="AL145" s="130">
        <f>SUM(AL143:AO144)</f>
        <v>0</v>
      </c>
      <c r="AM145" s="119"/>
      <c r="AN145" s="119"/>
      <c r="AO145" s="130">
        <f>SUM(AO143:AR144)</f>
        <v>0</v>
      </c>
      <c r="AP145" s="119"/>
      <c r="AQ145" s="119"/>
      <c r="AR145" s="40"/>
      <c r="AS145" s="15"/>
    </row>
    <row r="146" spans="1:85" customHeight="1" ht="13.5">
      <c r="A146" s="4"/>
      <c r="B146" s="126" t="s">
        <v>44</v>
      </c>
      <c r="C146" s="105"/>
      <c r="D146" s="105"/>
      <c r="E146" s="100"/>
      <c r="F146" s="128" t="s">
        <v>34</v>
      </c>
      <c r="G146" s="95"/>
      <c r="H146" s="95"/>
      <c r="I146" s="96"/>
      <c r="J146" s="34"/>
      <c r="K146" s="35"/>
      <c r="L146" s="35"/>
      <c r="M146" s="54"/>
      <c r="N146" s="130"/>
      <c r="O146" s="119"/>
      <c r="P146" s="119"/>
      <c r="Q146" s="119"/>
      <c r="R146" s="130"/>
      <c r="S146" s="119"/>
      <c r="T146" s="119"/>
      <c r="U146" s="119"/>
      <c r="V146" s="130"/>
      <c r="W146" s="119"/>
      <c r="X146" s="119"/>
      <c r="Y146" s="119"/>
      <c r="Z146" s="130"/>
      <c r="AA146" s="119"/>
      <c r="AB146" s="119"/>
      <c r="AC146" s="119"/>
      <c r="AD146" s="130"/>
      <c r="AE146" s="119"/>
      <c r="AF146" s="119"/>
      <c r="AG146" s="119"/>
      <c r="AH146" s="130"/>
      <c r="AI146" s="119"/>
      <c r="AJ146" s="119"/>
      <c r="AK146" s="119"/>
      <c r="AL146" s="130"/>
      <c r="AM146" s="119"/>
      <c r="AN146" s="119"/>
      <c r="AO146" s="130">
        <f>SUM(J146:AK146)</f>
        <v>0</v>
      </c>
      <c r="AP146" s="119"/>
      <c r="AQ146" s="119"/>
      <c r="AR146" s="40"/>
      <c r="AS146" s="15"/>
    </row>
    <row r="147" spans="1:85" customHeight="1" ht="13.5">
      <c r="A147" s="4"/>
      <c r="B147" s="127"/>
      <c r="C147" s="105"/>
      <c r="D147" s="105"/>
      <c r="E147" s="100"/>
      <c r="F147" s="131" t="s">
        <v>35</v>
      </c>
      <c r="G147" s="116"/>
      <c r="H147" s="116"/>
      <c r="I147" s="117"/>
      <c r="J147" s="34"/>
      <c r="K147" s="35"/>
      <c r="L147" s="35"/>
      <c r="M147" s="54"/>
      <c r="N147" s="130"/>
      <c r="O147" s="119"/>
      <c r="P147" s="119"/>
      <c r="Q147" s="119"/>
      <c r="R147" s="130"/>
      <c r="S147" s="119"/>
      <c r="T147" s="119"/>
      <c r="U147" s="119"/>
      <c r="V147" s="130"/>
      <c r="W147" s="119"/>
      <c r="X147" s="119"/>
      <c r="Y147" s="119"/>
      <c r="Z147" s="130"/>
      <c r="AA147" s="119"/>
      <c r="AB147" s="119"/>
      <c r="AC147" s="119"/>
      <c r="AD147" s="130"/>
      <c r="AE147" s="119"/>
      <c r="AF147" s="119"/>
      <c r="AG147" s="119"/>
      <c r="AH147" s="130"/>
      <c r="AI147" s="119"/>
      <c r="AJ147" s="119"/>
      <c r="AK147" s="119"/>
      <c r="AL147" s="130"/>
      <c r="AM147" s="119"/>
      <c r="AN147" s="119"/>
      <c r="AO147" s="130">
        <f>SUM(J147:AK147)</f>
        <v>0</v>
      </c>
      <c r="AP147" s="119"/>
      <c r="AQ147" s="119"/>
      <c r="AR147" s="40"/>
      <c r="AS147" s="15"/>
    </row>
    <row r="148" spans="1:85" customHeight="1" ht="13.5">
      <c r="A148" s="4"/>
      <c r="B148" s="115"/>
      <c r="C148" s="116"/>
      <c r="D148" s="116"/>
      <c r="E148" s="117"/>
      <c r="F148" s="131" t="s">
        <v>36</v>
      </c>
      <c r="G148" s="116"/>
      <c r="H148" s="116"/>
      <c r="I148" s="117"/>
      <c r="J148" s="34"/>
      <c r="K148" s="35"/>
      <c r="L148" s="35"/>
      <c r="M148" s="54"/>
      <c r="N148" s="130">
        <f>SUM(N146:Q147)</f>
        <v>0</v>
      </c>
      <c r="O148" s="119"/>
      <c r="P148" s="119"/>
      <c r="Q148" s="119"/>
      <c r="R148" s="130">
        <f>SUM(R146:U147)</f>
        <v>0</v>
      </c>
      <c r="S148" s="119"/>
      <c r="T148" s="119"/>
      <c r="U148" s="119"/>
      <c r="V148" s="130">
        <f>SUM(V146:Y147)</f>
        <v>0</v>
      </c>
      <c r="W148" s="119"/>
      <c r="X148" s="119"/>
      <c r="Y148" s="119"/>
      <c r="Z148" s="130">
        <f>SUM(Z146:AC147)</f>
        <v>0</v>
      </c>
      <c r="AA148" s="119"/>
      <c r="AB148" s="119"/>
      <c r="AC148" s="119"/>
      <c r="AD148" s="130">
        <f>SUM(AD146:AG147)</f>
        <v>0</v>
      </c>
      <c r="AE148" s="119"/>
      <c r="AF148" s="119"/>
      <c r="AG148" s="119"/>
      <c r="AH148" s="130">
        <f>SUM(AH146:AK147)</f>
        <v>0</v>
      </c>
      <c r="AI148" s="119"/>
      <c r="AJ148" s="119"/>
      <c r="AK148" s="119"/>
      <c r="AL148" s="130">
        <f>SUM(AL146:AO147)</f>
        <v>0</v>
      </c>
      <c r="AM148" s="119"/>
      <c r="AN148" s="119"/>
      <c r="AO148" s="130">
        <f>SUM(AO146:AR147)</f>
        <v>0</v>
      </c>
      <c r="AP148" s="119"/>
      <c r="AQ148" s="119"/>
      <c r="AR148" s="40"/>
      <c r="AS148" s="15"/>
    </row>
    <row r="149" spans="1:85" customHeight="1" ht="13.5">
      <c r="A149" s="4"/>
      <c r="B149" s="134" t="s">
        <v>45</v>
      </c>
      <c r="C149" s="91"/>
      <c r="D149" s="91"/>
      <c r="E149" s="93"/>
      <c r="F149" s="128" t="s">
        <v>34</v>
      </c>
      <c r="G149" s="95"/>
      <c r="H149" s="95"/>
      <c r="I149" s="96"/>
      <c r="J149" s="34"/>
      <c r="K149" s="35"/>
      <c r="L149" s="35"/>
      <c r="M149" s="54"/>
      <c r="N149" s="130"/>
      <c r="O149" s="119"/>
      <c r="P149" s="119"/>
      <c r="Q149" s="119"/>
      <c r="R149" s="130"/>
      <c r="S149" s="119"/>
      <c r="T149" s="119"/>
      <c r="U149" s="119"/>
      <c r="V149" s="130"/>
      <c r="W149" s="119"/>
      <c r="X149" s="119"/>
      <c r="Y149" s="119"/>
      <c r="Z149" s="130"/>
      <c r="AA149" s="119"/>
      <c r="AB149" s="119"/>
      <c r="AC149" s="119"/>
      <c r="AD149" s="130"/>
      <c r="AE149" s="119"/>
      <c r="AF149" s="119"/>
      <c r="AG149" s="119"/>
      <c r="AH149" s="130"/>
      <c r="AI149" s="119"/>
      <c r="AJ149" s="119"/>
      <c r="AK149" s="119"/>
      <c r="AL149" s="130"/>
      <c r="AM149" s="119"/>
      <c r="AN149" s="119"/>
      <c r="AO149" s="130">
        <f>SUM(J149:AK149)</f>
        <v>0</v>
      </c>
      <c r="AP149" s="119"/>
      <c r="AQ149" s="119"/>
      <c r="AR149" s="40"/>
      <c r="AS149" s="15"/>
    </row>
    <row r="150" spans="1:85" customHeight="1" ht="13.5">
      <c r="A150" s="4"/>
      <c r="B150" s="127"/>
      <c r="C150" s="105"/>
      <c r="D150" s="105"/>
      <c r="E150" s="100"/>
      <c r="F150" s="131" t="s">
        <v>35</v>
      </c>
      <c r="G150" s="116"/>
      <c r="H150" s="116"/>
      <c r="I150" s="117"/>
      <c r="J150" s="34"/>
      <c r="K150" s="35"/>
      <c r="L150" s="35"/>
      <c r="M150" s="54"/>
      <c r="N150" s="130"/>
      <c r="O150" s="119"/>
      <c r="P150" s="119"/>
      <c r="Q150" s="119"/>
      <c r="R150" s="130"/>
      <c r="S150" s="119"/>
      <c r="T150" s="119"/>
      <c r="U150" s="119"/>
      <c r="V150" s="130"/>
      <c r="W150" s="119"/>
      <c r="X150" s="119"/>
      <c r="Y150" s="119"/>
      <c r="Z150" s="130"/>
      <c r="AA150" s="119"/>
      <c r="AB150" s="119"/>
      <c r="AC150" s="119"/>
      <c r="AD150" s="130"/>
      <c r="AE150" s="119"/>
      <c r="AF150" s="119"/>
      <c r="AG150" s="119"/>
      <c r="AH150" s="130"/>
      <c r="AI150" s="119"/>
      <c r="AJ150" s="119"/>
      <c r="AK150" s="119"/>
      <c r="AL150" s="130"/>
      <c r="AM150" s="119"/>
      <c r="AN150" s="119"/>
      <c r="AO150" s="130">
        <f>SUM(J150:AK150)</f>
        <v>0</v>
      </c>
      <c r="AP150" s="119"/>
      <c r="AQ150" s="119"/>
      <c r="AR150" s="40"/>
      <c r="AS150" s="15"/>
    </row>
    <row r="151" spans="1:85" customHeight="1" ht="13.5">
      <c r="A151" s="4"/>
      <c r="B151" s="115"/>
      <c r="C151" s="116"/>
      <c r="D151" s="116"/>
      <c r="E151" s="117"/>
      <c r="F151" s="131" t="s">
        <v>36</v>
      </c>
      <c r="G151" s="116"/>
      <c r="H151" s="116"/>
      <c r="I151" s="117"/>
      <c r="J151" s="135">
        <f>SUM(J124,J127,J130,J133,J136,J139,J142,J145,J148)</f>
        <v>0</v>
      </c>
      <c r="K151" s="95"/>
      <c r="L151" s="95"/>
      <c r="M151" s="95"/>
      <c r="N151" s="130">
        <f>SUM(N124,N127,N130,N133,N136,N139,N142,N145,N148)</f>
        <v>0</v>
      </c>
      <c r="O151" s="119"/>
      <c r="P151" s="119"/>
      <c r="Q151" s="119"/>
      <c r="R151" s="130">
        <f>SUM(R124,R127,R130,R133,R136,R139,R142,R145,R148)</f>
        <v>0</v>
      </c>
      <c r="S151" s="119"/>
      <c r="T151" s="119"/>
      <c r="U151" s="119"/>
      <c r="V151" s="130">
        <f>SUM(V124,V127,V130,V133,V136,V139,V142,V145,V148)</f>
        <v>0</v>
      </c>
      <c r="W151" s="119"/>
      <c r="X151" s="119"/>
      <c r="Y151" s="119"/>
      <c r="Z151" s="130">
        <f>SUM(Z124,Z127,Z130,Z133,Z136,Z139,Z142,Z145,Z148)</f>
        <v>0</v>
      </c>
      <c r="AA151" s="119"/>
      <c r="AB151" s="119"/>
      <c r="AC151" s="119"/>
      <c r="AD151" s="130">
        <f>SUM(AD124,AD127,AD130,AD133,AD136,AD139,AD142,AD145,AD148)</f>
        <v>0</v>
      </c>
      <c r="AE151" s="119"/>
      <c r="AF151" s="119"/>
      <c r="AG151" s="119"/>
      <c r="AH151" s="130">
        <f>SUM(AH124,AH127,AH130,AH133,AH136,AH139,AH142,AH145,AH148)</f>
        <v>0</v>
      </c>
      <c r="AI151" s="119"/>
      <c r="AJ151" s="119"/>
      <c r="AK151" s="119"/>
      <c r="AL151" s="130">
        <f>SUM(AL124,AL127,AL130,AL133,AL136,AL139,AL142,AL145,AL148)</f>
        <v>0</v>
      </c>
      <c r="AM151" s="119"/>
      <c r="AN151" s="119"/>
      <c r="AO151" s="130">
        <f>SUM(AO124,AO127,AO130,AO133,AO136,AO139,AO142,AO145,AO148)</f>
        <v>0</v>
      </c>
      <c r="AP151" s="119"/>
      <c r="AQ151" s="119"/>
      <c r="AR151" s="40"/>
      <c r="AS151" s="15"/>
    </row>
    <row r="152" spans="1:85" customHeight="1" ht="13.5">
      <c r="A152" s="4"/>
      <c r="B152" s="17"/>
      <c r="C152" s="17"/>
      <c r="D152" s="17"/>
      <c r="E152" s="17"/>
      <c r="F152" s="17"/>
      <c r="G152" s="17"/>
      <c r="H152" s="17"/>
      <c r="I152" s="17"/>
      <c r="J152" s="15"/>
      <c r="K152" s="15"/>
      <c r="L152" s="15"/>
      <c r="M152" s="15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15"/>
      <c r="AS152" s="15"/>
    </row>
    <row r="153" spans="1:85" customHeight="1" ht="13.5">
      <c r="A153" s="4"/>
      <c r="B153" s="16"/>
      <c r="C153" s="16"/>
      <c r="D153" s="16"/>
      <c r="E153" s="16"/>
      <c r="F153" s="16"/>
      <c r="G153" s="16"/>
      <c r="H153" s="1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</row>
    <row r="154" spans="1:85" customHeight="1" ht="13.5">
      <c r="A154" s="4"/>
      <c r="B154" s="137" t="s">
        <v>49</v>
      </c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  <c r="AB154" s="138"/>
      <c r="AC154" s="138"/>
      <c r="AD154" s="138"/>
      <c r="AE154" s="138"/>
      <c r="AF154" s="138"/>
      <c r="AG154" s="138"/>
      <c r="AH154" s="138"/>
      <c r="AI154" s="138"/>
      <c r="AJ154" s="138"/>
      <c r="AK154" s="138"/>
      <c r="AL154" s="138"/>
      <c r="AM154" s="138"/>
      <c r="AN154" s="138"/>
      <c r="AO154" s="138"/>
      <c r="AP154" s="138"/>
      <c r="AQ154" s="138"/>
      <c r="AR154" s="4"/>
      <c r="AS154" s="4"/>
    </row>
    <row r="155" spans="1:85" customHeight="1" ht="13.5">
      <c r="A155" s="4"/>
      <c r="B155" s="114" t="s">
        <v>22</v>
      </c>
      <c r="C155" s="91"/>
      <c r="D155" s="91"/>
      <c r="E155" s="93"/>
      <c r="F155" s="114" t="s">
        <v>23</v>
      </c>
      <c r="G155" s="91"/>
      <c r="H155" s="91"/>
      <c r="I155" s="93"/>
      <c r="J155" s="114" t="s">
        <v>24</v>
      </c>
      <c r="K155" s="91"/>
      <c r="L155" s="91"/>
      <c r="M155" s="91"/>
      <c r="N155" s="118" t="s">
        <v>25</v>
      </c>
      <c r="O155" s="119"/>
      <c r="P155" s="119"/>
      <c r="Q155" s="119"/>
      <c r="R155" s="118" t="s">
        <v>26</v>
      </c>
      <c r="S155" s="119"/>
      <c r="T155" s="119"/>
      <c r="U155" s="119"/>
      <c r="V155" s="118" t="s">
        <v>27</v>
      </c>
      <c r="W155" s="119"/>
      <c r="X155" s="119"/>
      <c r="Y155" s="119"/>
      <c r="Z155" s="120" t="s">
        <v>28</v>
      </c>
      <c r="AA155" s="119"/>
      <c r="AB155" s="119"/>
      <c r="AC155" s="119"/>
      <c r="AD155" s="118" t="s">
        <v>29</v>
      </c>
      <c r="AE155" s="119"/>
      <c r="AF155" s="119"/>
      <c r="AG155" s="119"/>
      <c r="AH155" s="118" t="s">
        <v>30</v>
      </c>
      <c r="AI155" s="119"/>
      <c r="AJ155" s="119"/>
      <c r="AK155" s="119"/>
      <c r="AL155" s="120" t="s">
        <v>31</v>
      </c>
      <c r="AM155" s="119"/>
      <c r="AN155" s="119"/>
      <c r="AO155" s="118" t="s">
        <v>32</v>
      </c>
      <c r="AP155" s="119"/>
      <c r="AQ155" s="119"/>
      <c r="AR155" s="55"/>
      <c r="AS155" s="14"/>
    </row>
    <row r="156" spans="1:85" customHeight="1" ht="13.5">
      <c r="A156" s="4"/>
      <c r="B156" s="115"/>
      <c r="C156" s="116"/>
      <c r="D156" s="116"/>
      <c r="E156" s="117"/>
      <c r="F156" s="115"/>
      <c r="G156" s="116"/>
      <c r="H156" s="116"/>
      <c r="I156" s="117"/>
      <c r="J156" s="115"/>
      <c r="K156" s="116"/>
      <c r="L156" s="116"/>
      <c r="M156" s="116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  <c r="AA156" s="119"/>
      <c r="AB156" s="119"/>
      <c r="AC156" s="119"/>
      <c r="AD156" s="119"/>
      <c r="AE156" s="119"/>
      <c r="AF156" s="119"/>
      <c r="AG156" s="119"/>
      <c r="AH156" s="119"/>
      <c r="AI156" s="119"/>
      <c r="AJ156" s="119"/>
      <c r="AK156" s="119"/>
      <c r="AL156" s="119"/>
      <c r="AM156" s="119"/>
      <c r="AN156" s="119"/>
      <c r="AO156" s="119"/>
      <c r="AP156" s="119"/>
      <c r="AQ156" s="119"/>
      <c r="AR156" s="55"/>
      <c r="AS156" s="14"/>
    </row>
    <row r="157" spans="1:85" customHeight="1" ht="13.5">
      <c r="A157" s="4"/>
      <c r="B157" s="126" t="s">
        <v>33</v>
      </c>
      <c r="C157" s="105"/>
      <c r="D157" s="105"/>
      <c r="E157" s="100"/>
      <c r="F157" s="128" t="s">
        <v>34</v>
      </c>
      <c r="G157" s="95"/>
      <c r="H157" s="95"/>
      <c r="I157" s="96"/>
      <c r="J157" s="129">
        <v>24</v>
      </c>
      <c r="K157" s="91"/>
      <c r="L157" s="91"/>
      <c r="M157" s="91"/>
      <c r="N157" s="130">
        <v>23</v>
      </c>
      <c r="O157" s="119"/>
      <c r="P157" s="119"/>
      <c r="Q157" s="119"/>
      <c r="R157" s="130">
        <v>21</v>
      </c>
      <c r="S157" s="119"/>
      <c r="T157" s="119"/>
      <c r="U157" s="119"/>
      <c r="V157" s="130">
        <v>26</v>
      </c>
      <c r="W157" s="119"/>
      <c r="X157" s="119"/>
      <c r="Y157" s="119"/>
      <c r="Z157" s="130"/>
      <c r="AA157" s="119"/>
      <c r="AB157" s="119"/>
      <c r="AC157" s="119"/>
      <c r="AD157" s="130"/>
      <c r="AE157" s="119"/>
      <c r="AF157" s="119"/>
      <c r="AG157" s="119"/>
      <c r="AH157" s="130"/>
      <c r="AI157" s="119"/>
      <c r="AJ157" s="119"/>
      <c r="AK157" s="119"/>
      <c r="AL157" s="130"/>
      <c r="AM157" s="119"/>
      <c r="AN157" s="119"/>
      <c r="AO157" s="130">
        <f>SUM(J157:AK157)</f>
        <v>94</v>
      </c>
      <c r="AP157" s="119"/>
      <c r="AQ157" s="119"/>
      <c r="AR157" s="40"/>
      <c r="AS157" s="15"/>
    </row>
    <row r="158" spans="1:85" customHeight="1" ht="13.5">
      <c r="A158" s="4"/>
      <c r="B158" s="127"/>
      <c r="C158" s="105"/>
      <c r="D158" s="105"/>
      <c r="E158" s="100"/>
      <c r="F158" s="131" t="s">
        <v>35</v>
      </c>
      <c r="G158" s="116"/>
      <c r="H158" s="116"/>
      <c r="I158" s="117"/>
      <c r="J158" s="129">
        <v>27</v>
      </c>
      <c r="K158" s="91"/>
      <c r="L158" s="91"/>
      <c r="M158" s="91"/>
      <c r="N158" s="130">
        <v>18</v>
      </c>
      <c r="O158" s="119"/>
      <c r="P158" s="119"/>
      <c r="Q158" s="119"/>
      <c r="R158" s="130">
        <v>16</v>
      </c>
      <c r="S158" s="119"/>
      <c r="T158" s="119"/>
      <c r="U158" s="119"/>
      <c r="V158" s="130">
        <v>21</v>
      </c>
      <c r="W158" s="119"/>
      <c r="X158" s="119"/>
      <c r="Y158" s="119"/>
      <c r="Z158" s="130"/>
      <c r="AA158" s="119"/>
      <c r="AB158" s="119"/>
      <c r="AC158" s="119"/>
      <c r="AD158" s="130"/>
      <c r="AE158" s="119"/>
      <c r="AF158" s="119"/>
      <c r="AG158" s="119"/>
      <c r="AH158" s="130"/>
      <c r="AI158" s="119"/>
      <c r="AJ158" s="119"/>
      <c r="AK158" s="119"/>
      <c r="AL158" s="130"/>
      <c r="AM158" s="119"/>
      <c r="AN158" s="119"/>
      <c r="AO158" s="130">
        <f>SUM(J158:AK158)</f>
        <v>82</v>
      </c>
      <c r="AP158" s="119"/>
      <c r="AQ158" s="119"/>
      <c r="AR158" s="40"/>
      <c r="AS158" s="15"/>
    </row>
    <row r="159" spans="1:85" customHeight="1" ht="13.5">
      <c r="A159" s="4"/>
      <c r="B159" s="115"/>
      <c r="C159" s="116"/>
      <c r="D159" s="116"/>
      <c r="E159" s="117"/>
      <c r="F159" s="131" t="s">
        <v>36</v>
      </c>
      <c r="G159" s="116"/>
      <c r="H159" s="116"/>
      <c r="I159" s="117"/>
      <c r="J159" s="129">
        <f>SUM(J157:M158)</f>
        <v>51</v>
      </c>
      <c r="K159" s="91"/>
      <c r="L159" s="91"/>
      <c r="M159" s="91"/>
      <c r="N159" s="130">
        <f>SUM(N157:Q158)</f>
        <v>41</v>
      </c>
      <c r="O159" s="119"/>
      <c r="P159" s="119"/>
      <c r="Q159" s="119"/>
      <c r="R159" s="130">
        <f>SUM(R157:U158)</f>
        <v>37</v>
      </c>
      <c r="S159" s="119"/>
      <c r="T159" s="119"/>
      <c r="U159" s="119"/>
      <c r="V159" s="130">
        <f>SUM(V157:Y158)</f>
        <v>47</v>
      </c>
      <c r="W159" s="119"/>
      <c r="X159" s="119"/>
      <c r="Y159" s="119"/>
      <c r="Z159" s="130">
        <f>SUM(Z157:AC158)</f>
        <v>0</v>
      </c>
      <c r="AA159" s="119"/>
      <c r="AB159" s="119"/>
      <c r="AC159" s="119"/>
      <c r="AD159" s="130">
        <f>SUM(AD157:AG158)</f>
        <v>0</v>
      </c>
      <c r="AE159" s="119"/>
      <c r="AF159" s="119"/>
      <c r="AG159" s="119"/>
      <c r="AH159" s="130">
        <f>SUM(AH157:AK158)</f>
        <v>0</v>
      </c>
      <c r="AI159" s="119"/>
      <c r="AJ159" s="119"/>
      <c r="AK159" s="119"/>
      <c r="AL159" s="130">
        <f>SUM(AL157:AO158)</f>
        <v>176</v>
      </c>
      <c r="AM159" s="119"/>
      <c r="AN159" s="119"/>
      <c r="AO159" s="130">
        <f>SUM(AO157:AR158)</f>
        <v>176</v>
      </c>
      <c r="AP159" s="119"/>
      <c r="AQ159" s="119"/>
      <c r="AR159" s="40"/>
      <c r="AS159" s="15"/>
    </row>
    <row r="160" spans="1:85" customHeight="1" ht="13.5">
      <c r="A160" s="4"/>
      <c r="B160" s="126" t="s">
        <v>37</v>
      </c>
      <c r="C160" s="105"/>
      <c r="D160" s="105"/>
      <c r="E160" s="100"/>
      <c r="F160" s="128" t="s">
        <v>34</v>
      </c>
      <c r="G160" s="95"/>
      <c r="H160" s="95"/>
      <c r="I160" s="96"/>
      <c r="J160" s="34">
        <v>2</v>
      </c>
      <c r="K160" s="35"/>
      <c r="L160" s="35"/>
      <c r="M160" s="54"/>
      <c r="N160" s="130">
        <v>21</v>
      </c>
      <c r="O160" s="119"/>
      <c r="P160" s="119"/>
      <c r="Q160" s="119"/>
      <c r="R160" s="130">
        <v>11</v>
      </c>
      <c r="S160" s="119"/>
      <c r="T160" s="119"/>
      <c r="U160" s="119"/>
      <c r="V160" s="130">
        <v>37</v>
      </c>
      <c r="W160" s="119"/>
      <c r="X160" s="119"/>
      <c r="Y160" s="119"/>
      <c r="Z160" s="130">
        <v>4</v>
      </c>
      <c r="AA160" s="119"/>
      <c r="AB160" s="119"/>
      <c r="AC160" s="119"/>
      <c r="AD160" s="130">
        <v>12</v>
      </c>
      <c r="AE160" s="119"/>
      <c r="AF160" s="119"/>
      <c r="AG160" s="119"/>
      <c r="AH160" s="130">
        <v>5</v>
      </c>
      <c r="AI160" s="119"/>
      <c r="AJ160" s="119"/>
      <c r="AK160" s="119"/>
      <c r="AL160" s="130"/>
      <c r="AM160" s="119"/>
      <c r="AN160" s="119"/>
      <c r="AO160" s="130">
        <f>SUM(J160:AK160)</f>
        <v>92</v>
      </c>
      <c r="AP160" s="119"/>
      <c r="AQ160" s="119"/>
      <c r="AR160" s="40"/>
      <c r="AS160" s="15"/>
    </row>
    <row r="161" spans="1:85" customHeight="1" ht="13.5">
      <c r="A161" s="4"/>
      <c r="B161" s="127"/>
      <c r="C161" s="105"/>
      <c r="D161" s="105"/>
      <c r="E161" s="100"/>
      <c r="F161" s="131" t="s">
        <v>35</v>
      </c>
      <c r="G161" s="116"/>
      <c r="H161" s="116"/>
      <c r="I161" s="117"/>
      <c r="J161" s="34">
        <v>3</v>
      </c>
      <c r="K161" s="35"/>
      <c r="L161" s="35"/>
      <c r="M161" s="54"/>
      <c r="N161" s="130">
        <v>15</v>
      </c>
      <c r="O161" s="119"/>
      <c r="P161" s="119"/>
      <c r="Q161" s="119"/>
      <c r="R161" s="130">
        <v>15</v>
      </c>
      <c r="S161" s="119"/>
      <c r="T161" s="119"/>
      <c r="U161" s="119"/>
      <c r="V161" s="130">
        <v>31</v>
      </c>
      <c r="W161" s="119"/>
      <c r="X161" s="119"/>
      <c r="Y161" s="119"/>
      <c r="Z161" s="130">
        <v>5</v>
      </c>
      <c r="AA161" s="119"/>
      <c r="AB161" s="119"/>
      <c r="AC161" s="119"/>
      <c r="AD161" s="130">
        <v>15</v>
      </c>
      <c r="AE161" s="119"/>
      <c r="AF161" s="119"/>
      <c r="AG161" s="119"/>
      <c r="AH161" s="130">
        <v>8</v>
      </c>
      <c r="AI161" s="119"/>
      <c r="AJ161" s="119"/>
      <c r="AK161" s="119"/>
      <c r="AL161" s="130"/>
      <c r="AM161" s="119"/>
      <c r="AN161" s="119"/>
      <c r="AO161" s="130">
        <f>SUM(J161:AK161)</f>
        <v>92</v>
      </c>
      <c r="AP161" s="119"/>
      <c r="AQ161" s="119"/>
      <c r="AR161" s="40"/>
      <c r="AS161" s="15"/>
    </row>
    <row r="162" spans="1:85" customHeight="1" ht="13.5">
      <c r="A162" s="4"/>
      <c r="B162" s="115"/>
      <c r="C162" s="116"/>
      <c r="D162" s="116"/>
      <c r="E162" s="117"/>
      <c r="F162" s="131" t="s">
        <v>36</v>
      </c>
      <c r="G162" s="116"/>
      <c r="H162" s="116"/>
      <c r="I162" s="117"/>
      <c r="J162" s="34"/>
      <c r="K162" s="35"/>
      <c r="L162" s="35"/>
      <c r="M162" s="54"/>
      <c r="N162" s="130">
        <f>SUM(N160:Q161)</f>
        <v>36</v>
      </c>
      <c r="O162" s="119"/>
      <c r="P162" s="119"/>
      <c r="Q162" s="119"/>
      <c r="R162" s="130">
        <f>SUM(R160:U161)</f>
        <v>26</v>
      </c>
      <c r="S162" s="119"/>
      <c r="T162" s="119"/>
      <c r="U162" s="119"/>
      <c r="V162" s="130">
        <f>SUM(V160:Y161)</f>
        <v>68</v>
      </c>
      <c r="W162" s="119"/>
      <c r="X162" s="119"/>
      <c r="Y162" s="119"/>
      <c r="Z162" s="130">
        <f>SUM(Z160:AC161)</f>
        <v>9</v>
      </c>
      <c r="AA162" s="119"/>
      <c r="AB162" s="119"/>
      <c r="AC162" s="119"/>
      <c r="AD162" s="130">
        <f>SUM(AD160:AG161)</f>
        <v>27</v>
      </c>
      <c r="AE162" s="119"/>
      <c r="AF162" s="119"/>
      <c r="AG162" s="119"/>
      <c r="AH162" s="130">
        <f>SUM(AH160:AK161)</f>
        <v>13</v>
      </c>
      <c r="AI162" s="119"/>
      <c r="AJ162" s="119"/>
      <c r="AK162" s="119"/>
      <c r="AL162" s="130">
        <f>SUM(AL160:AO161)</f>
        <v>184</v>
      </c>
      <c r="AM162" s="119"/>
      <c r="AN162" s="119"/>
      <c r="AO162" s="130">
        <f>SUM(AO160:AR161)</f>
        <v>184</v>
      </c>
      <c r="AP162" s="119"/>
      <c r="AQ162" s="119"/>
      <c r="AR162" s="40"/>
      <c r="AS162" s="15"/>
    </row>
    <row r="163" spans="1:85" customHeight="1" ht="13.5">
      <c r="A163" s="4"/>
      <c r="B163" s="126" t="s">
        <v>38</v>
      </c>
      <c r="C163" s="105"/>
      <c r="D163" s="105"/>
      <c r="E163" s="100"/>
      <c r="F163" s="128" t="s">
        <v>34</v>
      </c>
      <c r="G163" s="95"/>
      <c r="H163" s="95"/>
      <c r="I163" s="96"/>
      <c r="J163" s="34"/>
      <c r="K163" s="35"/>
      <c r="L163" s="35"/>
      <c r="M163" s="54"/>
      <c r="N163" s="130">
        <v>20</v>
      </c>
      <c r="O163" s="119"/>
      <c r="P163" s="119"/>
      <c r="Q163" s="119"/>
      <c r="R163" s="130">
        <v>15</v>
      </c>
      <c r="S163" s="119"/>
      <c r="T163" s="119"/>
      <c r="U163" s="119"/>
      <c r="V163" s="130">
        <v>0</v>
      </c>
      <c r="W163" s="119"/>
      <c r="X163" s="119"/>
      <c r="Y163" s="119"/>
      <c r="Z163" s="130">
        <v>0</v>
      </c>
      <c r="AA163" s="119"/>
      <c r="AB163" s="119"/>
      <c r="AC163" s="119"/>
      <c r="AD163" s="130">
        <v>0</v>
      </c>
      <c r="AE163" s="119"/>
      <c r="AF163" s="119"/>
      <c r="AG163" s="119"/>
      <c r="AH163" s="130">
        <v>0</v>
      </c>
      <c r="AI163" s="119"/>
      <c r="AJ163" s="119"/>
      <c r="AK163" s="119"/>
      <c r="AL163" s="130"/>
      <c r="AM163" s="119"/>
      <c r="AN163" s="119"/>
      <c r="AO163" s="130">
        <f>SUM(J163:AK163)</f>
        <v>35</v>
      </c>
      <c r="AP163" s="119"/>
      <c r="AQ163" s="119"/>
      <c r="AR163" s="40"/>
      <c r="AS163" s="15"/>
    </row>
    <row r="164" spans="1:85" customHeight="1" ht="13.5">
      <c r="A164" s="4"/>
      <c r="B164" s="127"/>
      <c r="C164" s="105"/>
      <c r="D164" s="105"/>
      <c r="E164" s="100"/>
      <c r="F164" s="131" t="s">
        <v>35</v>
      </c>
      <c r="G164" s="116"/>
      <c r="H164" s="116"/>
      <c r="I164" s="117"/>
      <c r="J164" s="34"/>
      <c r="K164" s="35"/>
      <c r="L164" s="35"/>
      <c r="M164" s="54"/>
      <c r="N164" s="130">
        <v>29</v>
      </c>
      <c r="O164" s="119"/>
      <c r="P164" s="119"/>
      <c r="Q164" s="119"/>
      <c r="R164" s="130">
        <v>22</v>
      </c>
      <c r="S164" s="119"/>
      <c r="T164" s="119"/>
      <c r="U164" s="119"/>
      <c r="V164" s="130">
        <v>0</v>
      </c>
      <c r="W164" s="119"/>
      <c r="X164" s="119"/>
      <c r="Y164" s="119"/>
      <c r="Z164" s="130">
        <v>0</v>
      </c>
      <c r="AA164" s="119"/>
      <c r="AB164" s="119"/>
      <c r="AC164" s="119"/>
      <c r="AD164" s="130">
        <v>0</v>
      </c>
      <c r="AE164" s="119"/>
      <c r="AF164" s="119"/>
      <c r="AG164" s="119"/>
      <c r="AH164" s="130">
        <v>0</v>
      </c>
      <c r="AI164" s="119"/>
      <c r="AJ164" s="119"/>
      <c r="AK164" s="119"/>
      <c r="AL164" s="130"/>
      <c r="AM164" s="119"/>
      <c r="AN164" s="119"/>
      <c r="AO164" s="130">
        <f>SUM(J164:AK164)</f>
        <v>51</v>
      </c>
      <c r="AP164" s="119"/>
      <c r="AQ164" s="119"/>
      <c r="AR164" s="40"/>
      <c r="AS164" s="15"/>
    </row>
    <row r="165" spans="1:85" customHeight="1" ht="13.5">
      <c r="A165" s="4"/>
      <c r="B165" s="115"/>
      <c r="C165" s="116"/>
      <c r="D165" s="116"/>
      <c r="E165" s="117"/>
      <c r="F165" s="131" t="s">
        <v>36</v>
      </c>
      <c r="G165" s="116"/>
      <c r="H165" s="116"/>
      <c r="I165" s="117"/>
      <c r="J165" s="34"/>
      <c r="K165" s="35"/>
      <c r="L165" s="35"/>
      <c r="M165" s="54"/>
      <c r="N165" s="130">
        <f>SUM(N163:Q164)</f>
        <v>49</v>
      </c>
      <c r="O165" s="119"/>
      <c r="P165" s="119"/>
      <c r="Q165" s="119"/>
      <c r="R165" s="130">
        <f>SUM(R163:U164)</f>
        <v>37</v>
      </c>
      <c r="S165" s="119"/>
      <c r="T165" s="119"/>
      <c r="U165" s="119"/>
      <c r="V165" s="130">
        <f>SUM(V163:Y164)</f>
        <v>0</v>
      </c>
      <c r="W165" s="119"/>
      <c r="X165" s="119"/>
      <c r="Y165" s="119"/>
      <c r="Z165" s="130">
        <f>SUM(Z163:AC164)</f>
        <v>0</v>
      </c>
      <c r="AA165" s="119"/>
      <c r="AB165" s="119"/>
      <c r="AC165" s="119"/>
      <c r="AD165" s="130">
        <f>SUM(AD163:AG164)</f>
        <v>0</v>
      </c>
      <c r="AE165" s="119"/>
      <c r="AF165" s="119"/>
      <c r="AG165" s="119"/>
      <c r="AH165" s="130">
        <f>SUM(AH163:AK164)</f>
        <v>0</v>
      </c>
      <c r="AI165" s="119"/>
      <c r="AJ165" s="119"/>
      <c r="AK165" s="119"/>
      <c r="AL165" s="130">
        <f>SUM(AL163:AO164)</f>
        <v>86</v>
      </c>
      <c r="AM165" s="119"/>
      <c r="AN165" s="119"/>
      <c r="AO165" s="130">
        <f>SUM(AO163:AR164)</f>
        <v>86</v>
      </c>
      <c r="AP165" s="119"/>
      <c r="AQ165" s="119"/>
      <c r="AR165" s="40"/>
      <c r="AS165" s="15"/>
    </row>
    <row r="166" spans="1:85" customHeight="1" ht="13.5">
      <c r="A166" s="4"/>
      <c r="B166" s="126" t="s">
        <v>39</v>
      </c>
      <c r="C166" s="105"/>
      <c r="D166" s="105"/>
      <c r="E166" s="100"/>
      <c r="F166" s="128" t="s">
        <v>34</v>
      </c>
      <c r="G166" s="95"/>
      <c r="H166" s="95"/>
      <c r="I166" s="96"/>
      <c r="J166" s="34"/>
      <c r="K166" s="35"/>
      <c r="L166" s="35"/>
      <c r="M166" s="54"/>
      <c r="N166" s="130">
        <v>0</v>
      </c>
      <c r="O166" s="119"/>
      <c r="P166" s="119"/>
      <c r="Q166" s="119"/>
      <c r="R166" s="130">
        <v>1</v>
      </c>
      <c r="S166" s="119"/>
      <c r="T166" s="119"/>
      <c r="U166" s="119"/>
      <c r="V166" s="130">
        <v>0</v>
      </c>
      <c r="W166" s="119"/>
      <c r="X166" s="119"/>
      <c r="Y166" s="119"/>
      <c r="Z166" s="130">
        <v>0</v>
      </c>
      <c r="AA166" s="119"/>
      <c r="AB166" s="119"/>
      <c r="AC166" s="119"/>
      <c r="AD166" s="130">
        <v>0</v>
      </c>
      <c r="AE166" s="119"/>
      <c r="AF166" s="119"/>
      <c r="AG166" s="119"/>
      <c r="AH166" s="130">
        <v>0</v>
      </c>
      <c r="AI166" s="119"/>
      <c r="AJ166" s="119"/>
      <c r="AK166" s="119"/>
      <c r="AL166" s="130"/>
      <c r="AM166" s="119"/>
      <c r="AN166" s="119"/>
      <c r="AO166" s="130">
        <f>SUM(J166:AK166)</f>
        <v>1</v>
      </c>
      <c r="AP166" s="119"/>
      <c r="AQ166" s="119"/>
      <c r="AR166" s="40"/>
      <c r="AS166" s="15"/>
    </row>
    <row r="167" spans="1:85" customHeight="1" ht="13.5">
      <c r="A167" s="4"/>
      <c r="B167" s="127"/>
      <c r="C167" s="105"/>
      <c r="D167" s="105"/>
      <c r="E167" s="100"/>
      <c r="F167" s="131" t="s">
        <v>35</v>
      </c>
      <c r="G167" s="116"/>
      <c r="H167" s="116"/>
      <c r="I167" s="117"/>
      <c r="J167" s="34"/>
      <c r="K167" s="35"/>
      <c r="L167" s="35"/>
      <c r="M167" s="54"/>
      <c r="N167" s="130">
        <v>1</v>
      </c>
      <c r="O167" s="119"/>
      <c r="P167" s="119"/>
      <c r="Q167" s="119"/>
      <c r="R167" s="130">
        <v>2</v>
      </c>
      <c r="S167" s="119"/>
      <c r="T167" s="119"/>
      <c r="U167" s="119"/>
      <c r="V167" s="130">
        <v>0</v>
      </c>
      <c r="W167" s="119"/>
      <c r="X167" s="119"/>
      <c r="Y167" s="119"/>
      <c r="Z167" s="130">
        <v>0</v>
      </c>
      <c r="AA167" s="119"/>
      <c r="AB167" s="119"/>
      <c r="AC167" s="119"/>
      <c r="AD167" s="130">
        <v>0</v>
      </c>
      <c r="AE167" s="119"/>
      <c r="AF167" s="119"/>
      <c r="AG167" s="119"/>
      <c r="AH167" s="130">
        <v>0</v>
      </c>
      <c r="AI167" s="119"/>
      <c r="AJ167" s="119"/>
      <c r="AK167" s="119"/>
      <c r="AL167" s="130"/>
      <c r="AM167" s="119"/>
      <c r="AN167" s="119"/>
      <c r="AO167" s="130">
        <f>SUM(J167:AK167)</f>
        <v>3</v>
      </c>
      <c r="AP167" s="119"/>
      <c r="AQ167" s="119"/>
      <c r="AR167" s="40"/>
      <c r="AS167" s="15"/>
    </row>
    <row r="168" spans="1:85" customHeight="1" ht="13.5">
      <c r="A168" s="4"/>
      <c r="B168" s="115"/>
      <c r="C168" s="116"/>
      <c r="D168" s="116"/>
      <c r="E168" s="117"/>
      <c r="F168" s="131" t="s">
        <v>36</v>
      </c>
      <c r="G168" s="116"/>
      <c r="H168" s="116"/>
      <c r="I168" s="117"/>
      <c r="J168" s="34"/>
      <c r="K168" s="35"/>
      <c r="L168" s="35"/>
      <c r="M168" s="54"/>
      <c r="N168" s="130">
        <f>SUM(N166:Q167)</f>
        <v>1</v>
      </c>
      <c r="O168" s="119"/>
      <c r="P168" s="119"/>
      <c r="Q168" s="119"/>
      <c r="R168" s="130">
        <f>SUM(R166:U167)</f>
        <v>3</v>
      </c>
      <c r="S168" s="119"/>
      <c r="T168" s="119"/>
      <c r="U168" s="119"/>
      <c r="V168" s="130">
        <f>SUM(V166:Y167)</f>
        <v>0</v>
      </c>
      <c r="W168" s="119"/>
      <c r="X168" s="119"/>
      <c r="Y168" s="119"/>
      <c r="Z168" s="130">
        <f>SUM(Z166:AC167)</f>
        <v>0</v>
      </c>
      <c r="AA168" s="119"/>
      <c r="AB168" s="119"/>
      <c r="AC168" s="119"/>
      <c r="AD168" s="130">
        <f>SUM(AD166:AG167)</f>
        <v>0</v>
      </c>
      <c r="AE168" s="119"/>
      <c r="AF168" s="119"/>
      <c r="AG168" s="119"/>
      <c r="AH168" s="130">
        <f>SUM(AH166:AK167)</f>
        <v>0</v>
      </c>
      <c r="AI168" s="119"/>
      <c r="AJ168" s="119"/>
      <c r="AK168" s="119"/>
      <c r="AL168" s="130">
        <f>SUM(AL166:AO167)</f>
        <v>4</v>
      </c>
      <c r="AM168" s="119"/>
      <c r="AN168" s="119"/>
      <c r="AO168" s="130">
        <f>SUM(AO166:AR167)</f>
        <v>4</v>
      </c>
      <c r="AP168" s="119"/>
      <c r="AQ168" s="119"/>
      <c r="AR168" s="40"/>
      <c r="AS168" s="15"/>
    </row>
    <row r="169" spans="1:85" customHeight="1" ht="13.5">
      <c r="A169" s="4"/>
      <c r="B169" s="126" t="s">
        <v>40</v>
      </c>
      <c r="C169" s="105"/>
      <c r="D169" s="105"/>
      <c r="E169" s="100"/>
      <c r="F169" s="128" t="s">
        <v>34</v>
      </c>
      <c r="G169" s="95"/>
      <c r="H169" s="95"/>
      <c r="I169" s="96"/>
      <c r="J169" s="34"/>
      <c r="K169" s="35"/>
      <c r="L169" s="35"/>
      <c r="M169" s="54"/>
      <c r="N169" s="130">
        <v>0</v>
      </c>
      <c r="O169" s="119"/>
      <c r="P169" s="119"/>
      <c r="Q169" s="119"/>
      <c r="R169" s="130">
        <v>0</v>
      </c>
      <c r="S169" s="119"/>
      <c r="T169" s="119"/>
      <c r="U169" s="119"/>
      <c r="V169" s="130">
        <v>0</v>
      </c>
      <c r="W169" s="119"/>
      <c r="X169" s="119"/>
      <c r="Y169" s="119"/>
      <c r="Z169" s="130">
        <v>0</v>
      </c>
      <c r="AA169" s="119"/>
      <c r="AB169" s="119"/>
      <c r="AC169" s="119"/>
      <c r="AD169" s="130">
        <v>0</v>
      </c>
      <c r="AE169" s="119"/>
      <c r="AF169" s="119"/>
      <c r="AG169" s="119"/>
      <c r="AH169" s="130">
        <v>0</v>
      </c>
      <c r="AI169" s="119"/>
      <c r="AJ169" s="119"/>
      <c r="AK169" s="119"/>
      <c r="AL169" s="130"/>
      <c r="AM169" s="119"/>
      <c r="AN169" s="119"/>
      <c r="AO169" s="130">
        <f>SUM(J169:AK169)</f>
        <v>0</v>
      </c>
      <c r="AP169" s="119"/>
      <c r="AQ169" s="119"/>
      <c r="AR169" s="40"/>
      <c r="AS169" s="15"/>
    </row>
    <row r="170" spans="1:85" customHeight="1" ht="13.5">
      <c r="A170" s="4"/>
      <c r="B170" s="127"/>
      <c r="C170" s="105"/>
      <c r="D170" s="105"/>
      <c r="E170" s="100"/>
      <c r="F170" s="131" t="s">
        <v>35</v>
      </c>
      <c r="G170" s="116"/>
      <c r="H170" s="116"/>
      <c r="I170" s="117"/>
      <c r="J170" s="34"/>
      <c r="K170" s="35"/>
      <c r="L170" s="35"/>
      <c r="M170" s="54"/>
      <c r="N170" s="130">
        <v>0</v>
      </c>
      <c r="O170" s="119"/>
      <c r="P170" s="119"/>
      <c r="Q170" s="119"/>
      <c r="R170" s="130">
        <v>0</v>
      </c>
      <c r="S170" s="119"/>
      <c r="T170" s="119"/>
      <c r="U170" s="119"/>
      <c r="V170" s="130">
        <v>0</v>
      </c>
      <c r="W170" s="119"/>
      <c r="X170" s="119"/>
      <c r="Y170" s="119"/>
      <c r="Z170" s="130">
        <v>0</v>
      </c>
      <c r="AA170" s="119"/>
      <c r="AB170" s="119"/>
      <c r="AC170" s="119"/>
      <c r="AD170" s="130">
        <v>0</v>
      </c>
      <c r="AE170" s="119"/>
      <c r="AF170" s="119"/>
      <c r="AG170" s="119"/>
      <c r="AH170" s="130">
        <v>0</v>
      </c>
      <c r="AI170" s="119"/>
      <c r="AJ170" s="119"/>
      <c r="AK170" s="119"/>
      <c r="AL170" s="130"/>
      <c r="AM170" s="119"/>
      <c r="AN170" s="119"/>
      <c r="AO170" s="130">
        <f>SUM(J170:AK170)</f>
        <v>0</v>
      </c>
      <c r="AP170" s="119"/>
      <c r="AQ170" s="119"/>
      <c r="AR170" s="40"/>
      <c r="AS170" s="15"/>
    </row>
    <row r="171" spans="1:85" customHeight="1" ht="13.5">
      <c r="A171" s="4"/>
      <c r="B171" s="115"/>
      <c r="C171" s="116"/>
      <c r="D171" s="116"/>
      <c r="E171" s="117"/>
      <c r="F171" s="131" t="s">
        <v>36</v>
      </c>
      <c r="G171" s="116"/>
      <c r="H171" s="116"/>
      <c r="I171" s="117"/>
      <c r="J171" s="34"/>
      <c r="K171" s="35"/>
      <c r="L171" s="35"/>
      <c r="M171" s="54"/>
      <c r="N171" s="130">
        <f>SUM(N169:Q170)</f>
        <v>0</v>
      </c>
      <c r="O171" s="119"/>
      <c r="P171" s="119"/>
      <c r="Q171" s="119"/>
      <c r="R171" s="130">
        <f>SUM(R169:U170)</f>
        <v>0</v>
      </c>
      <c r="S171" s="119"/>
      <c r="T171" s="119"/>
      <c r="U171" s="119"/>
      <c r="V171" s="130">
        <f>SUM(V169:Y170)</f>
        <v>0</v>
      </c>
      <c r="W171" s="119"/>
      <c r="X171" s="119"/>
      <c r="Y171" s="119"/>
      <c r="Z171" s="130">
        <f>SUM(Z169:AC170)</f>
        <v>0</v>
      </c>
      <c r="AA171" s="119"/>
      <c r="AB171" s="119"/>
      <c r="AC171" s="119"/>
      <c r="AD171" s="130">
        <f>SUM(AD169:AG170)</f>
        <v>0</v>
      </c>
      <c r="AE171" s="119"/>
      <c r="AF171" s="119"/>
      <c r="AG171" s="119"/>
      <c r="AH171" s="130">
        <f>SUM(AH169:AK170)</f>
        <v>0</v>
      </c>
      <c r="AI171" s="119"/>
      <c r="AJ171" s="119"/>
      <c r="AK171" s="119"/>
      <c r="AL171" s="130">
        <f>SUM(AL169:AO170)</f>
        <v>0</v>
      </c>
      <c r="AM171" s="119"/>
      <c r="AN171" s="119"/>
      <c r="AO171" s="130">
        <f>SUM(AO169:AR170)</f>
        <v>0</v>
      </c>
      <c r="AP171" s="119"/>
      <c r="AQ171" s="119"/>
      <c r="AR171" s="40"/>
      <c r="AS171" s="15"/>
    </row>
    <row r="172" spans="1:85" customHeight="1" ht="13.5">
      <c r="A172" s="4"/>
      <c r="B172" s="126" t="s">
        <v>41</v>
      </c>
      <c r="C172" s="105"/>
      <c r="D172" s="105"/>
      <c r="E172" s="100"/>
      <c r="F172" s="128" t="s">
        <v>34</v>
      </c>
      <c r="G172" s="95"/>
      <c r="H172" s="95"/>
      <c r="I172" s="96"/>
      <c r="J172" s="34"/>
      <c r="K172" s="35"/>
      <c r="L172" s="35"/>
      <c r="M172" s="54"/>
      <c r="N172" s="130">
        <v>0</v>
      </c>
      <c r="O172" s="119"/>
      <c r="P172" s="119"/>
      <c r="Q172" s="119"/>
      <c r="R172" s="130">
        <v>0</v>
      </c>
      <c r="S172" s="119"/>
      <c r="T172" s="119"/>
      <c r="U172" s="119"/>
      <c r="V172" s="130">
        <v>0</v>
      </c>
      <c r="W172" s="119"/>
      <c r="X172" s="119"/>
      <c r="Y172" s="119"/>
      <c r="Z172" s="130">
        <v>0</v>
      </c>
      <c r="AA172" s="119"/>
      <c r="AB172" s="119"/>
      <c r="AC172" s="119"/>
      <c r="AD172" s="130">
        <v>0</v>
      </c>
      <c r="AE172" s="119"/>
      <c r="AF172" s="119"/>
      <c r="AG172" s="119"/>
      <c r="AH172" s="130">
        <v>0</v>
      </c>
      <c r="AI172" s="119"/>
      <c r="AJ172" s="119"/>
      <c r="AK172" s="119"/>
      <c r="AL172" s="130"/>
      <c r="AM172" s="119"/>
      <c r="AN172" s="119"/>
      <c r="AO172" s="130">
        <f>SUM(J172:AK172)</f>
        <v>0</v>
      </c>
      <c r="AP172" s="119"/>
      <c r="AQ172" s="119"/>
      <c r="AR172" s="40"/>
      <c r="AS172" s="15"/>
    </row>
    <row r="173" spans="1:85" customHeight="1" ht="13.5">
      <c r="A173" s="4"/>
      <c r="B173" s="127"/>
      <c r="C173" s="105"/>
      <c r="D173" s="105"/>
      <c r="E173" s="100"/>
      <c r="F173" s="131" t="s">
        <v>35</v>
      </c>
      <c r="G173" s="116"/>
      <c r="H173" s="116"/>
      <c r="I173" s="117"/>
      <c r="J173" s="34"/>
      <c r="K173" s="35"/>
      <c r="L173" s="35"/>
      <c r="M173" s="54"/>
      <c r="N173" s="130">
        <v>0</v>
      </c>
      <c r="O173" s="119"/>
      <c r="P173" s="119"/>
      <c r="Q173" s="119"/>
      <c r="R173" s="130">
        <v>0</v>
      </c>
      <c r="S173" s="119"/>
      <c r="T173" s="119"/>
      <c r="U173" s="119"/>
      <c r="V173" s="130">
        <v>0</v>
      </c>
      <c r="W173" s="119"/>
      <c r="X173" s="119"/>
      <c r="Y173" s="119"/>
      <c r="Z173" s="130">
        <v>0</v>
      </c>
      <c r="AA173" s="119"/>
      <c r="AB173" s="119"/>
      <c r="AC173" s="119"/>
      <c r="AD173" s="130">
        <v>0</v>
      </c>
      <c r="AE173" s="119"/>
      <c r="AF173" s="119"/>
      <c r="AG173" s="119"/>
      <c r="AH173" s="130">
        <v>0</v>
      </c>
      <c r="AI173" s="119"/>
      <c r="AJ173" s="119"/>
      <c r="AK173" s="119"/>
      <c r="AL173" s="130"/>
      <c r="AM173" s="119"/>
      <c r="AN173" s="119"/>
      <c r="AO173" s="130">
        <f>SUM(J173:AK173)</f>
        <v>0</v>
      </c>
      <c r="AP173" s="119"/>
      <c r="AQ173" s="119"/>
      <c r="AR173" s="40"/>
      <c r="AS173" s="15"/>
    </row>
    <row r="174" spans="1:85" customHeight="1" ht="13.5">
      <c r="A174" s="4"/>
      <c r="B174" s="115"/>
      <c r="C174" s="116"/>
      <c r="D174" s="116"/>
      <c r="E174" s="117"/>
      <c r="F174" s="131" t="s">
        <v>36</v>
      </c>
      <c r="G174" s="116"/>
      <c r="H174" s="116"/>
      <c r="I174" s="117"/>
      <c r="J174" s="34"/>
      <c r="K174" s="35"/>
      <c r="L174" s="35"/>
      <c r="M174" s="54"/>
      <c r="N174" s="130">
        <f>SUM(N172:Q173)</f>
        <v>0</v>
      </c>
      <c r="O174" s="119"/>
      <c r="P174" s="119"/>
      <c r="Q174" s="119"/>
      <c r="R174" s="130">
        <f>SUM(R172:U173)</f>
        <v>0</v>
      </c>
      <c r="S174" s="119"/>
      <c r="T174" s="119"/>
      <c r="U174" s="119"/>
      <c r="V174" s="130">
        <f>SUM(V172:Y173)</f>
        <v>0</v>
      </c>
      <c r="W174" s="119"/>
      <c r="X174" s="119"/>
      <c r="Y174" s="119"/>
      <c r="Z174" s="130">
        <f>SUM(Z172:AC173)</f>
        <v>0</v>
      </c>
      <c r="AA174" s="119"/>
      <c r="AB174" s="119"/>
      <c r="AC174" s="119"/>
      <c r="AD174" s="130">
        <f>SUM(AD172:AG173)</f>
        <v>0</v>
      </c>
      <c r="AE174" s="119"/>
      <c r="AF174" s="119"/>
      <c r="AG174" s="119"/>
      <c r="AH174" s="130">
        <f>SUM(AH172:AK173)</f>
        <v>0</v>
      </c>
      <c r="AI174" s="119"/>
      <c r="AJ174" s="119"/>
      <c r="AK174" s="119"/>
      <c r="AL174" s="130">
        <f>SUM(AL172:AO173)</f>
        <v>0</v>
      </c>
      <c r="AM174" s="119"/>
      <c r="AN174" s="119"/>
      <c r="AO174" s="130">
        <f>SUM(AO172:AR173)</f>
        <v>0</v>
      </c>
      <c r="AP174" s="119"/>
      <c r="AQ174" s="119"/>
      <c r="AR174" s="40"/>
      <c r="AS174" s="15"/>
    </row>
    <row r="175" spans="1:85" customHeight="1" ht="13.5">
      <c r="A175" s="4"/>
      <c r="B175" s="126" t="s">
        <v>42</v>
      </c>
      <c r="C175" s="105"/>
      <c r="D175" s="105"/>
      <c r="E175" s="100"/>
      <c r="F175" s="128" t="s">
        <v>34</v>
      </c>
      <c r="G175" s="95"/>
      <c r="H175" s="95"/>
      <c r="I175" s="96"/>
      <c r="J175" s="34"/>
      <c r="K175" s="35"/>
      <c r="L175" s="35"/>
      <c r="M175" s="54"/>
      <c r="N175" s="130">
        <v>0</v>
      </c>
      <c r="O175" s="119"/>
      <c r="P175" s="119"/>
      <c r="Q175" s="119"/>
      <c r="R175" s="130">
        <v>0</v>
      </c>
      <c r="S175" s="119"/>
      <c r="T175" s="119"/>
      <c r="U175" s="119"/>
      <c r="V175" s="130">
        <v>0</v>
      </c>
      <c r="W175" s="119"/>
      <c r="X175" s="119"/>
      <c r="Y175" s="119"/>
      <c r="Z175" s="130">
        <v>0</v>
      </c>
      <c r="AA175" s="119"/>
      <c r="AB175" s="119"/>
      <c r="AC175" s="119"/>
      <c r="AD175" s="130">
        <v>0</v>
      </c>
      <c r="AE175" s="119"/>
      <c r="AF175" s="119"/>
      <c r="AG175" s="119"/>
      <c r="AH175" s="130">
        <v>0</v>
      </c>
      <c r="AI175" s="119"/>
      <c r="AJ175" s="119"/>
      <c r="AK175" s="119"/>
      <c r="AL175" s="130"/>
      <c r="AM175" s="119"/>
      <c r="AN175" s="119"/>
      <c r="AO175" s="130">
        <f>SUM(J175:AK175)</f>
        <v>0</v>
      </c>
      <c r="AP175" s="119"/>
      <c r="AQ175" s="119"/>
      <c r="AR175" s="40"/>
      <c r="AS175" s="15"/>
    </row>
    <row r="176" spans="1:85" customHeight="1" ht="13.5">
      <c r="A176" s="4"/>
      <c r="B176" s="127"/>
      <c r="C176" s="105"/>
      <c r="D176" s="105"/>
      <c r="E176" s="100"/>
      <c r="F176" s="131" t="s">
        <v>35</v>
      </c>
      <c r="G176" s="116"/>
      <c r="H176" s="116"/>
      <c r="I176" s="117"/>
      <c r="J176" s="34"/>
      <c r="K176" s="35"/>
      <c r="L176" s="35"/>
      <c r="M176" s="54"/>
      <c r="N176" s="130">
        <v>0</v>
      </c>
      <c r="O176" s="119"/>
      <c r="P176" s="119"/>
      <c r="Q176" s="119"/>
      <c r="R176" s="130">
        <v>0</v>
      </c>
      <c r="S176" s="119"/>
      <c r="T176" s="119"/>
      <c r="U176" s="119"/>
      <c r="V176" s="130">
        <v>0</v>
      </c>
      <c r="W176" s="119"/>
      <c r="X176" s="119"/>
      <c r="Y176" s="119"/>
      <c r="Z176" s="130">
        <v>0</v>
      </c>
      <c r="AA176" s="119"/>
      <c r="AB176" s="119"/>
      <c r="AC176" s="119"/>
      <c r="AD176" s="130">
        <v>0</v>
      </c>
      <c r="AE176" s="119"/>
      <c r="AF176" s="119"/>
      <c r="AG176" s="119"/>
      <c r="AH176" s="130">
        <v>0</v>
      </c>
      <c r="AI176" s="119"/>
      <c r="AJ176" s="119"/>
      <c r="AK176" s="119"/>
      <c r="AL176" s="130"/>
      <c r="AM176" s="119"/>
      <c r="AN176" s="119"/>
      <c r="AO176" s="130">
        <f>SUM(J176:AK176)</f>
        <v>0</v>
      </c>
      <c r="AP176" s="119"/>
      <c r="AQ176" s="119"/>
      <c r="AR176" s="40"/>
      <c r="AS176" s="15"/>
    </row>
    <row r="177" spans="1:85" customHeight="1" ht="13.5">
      <c r="A177" s="4"/>
      <c r="B177" s="115"/>
      <c r="C177" s="116"/>
      <c r="D177" s="116"/>
      <c r="E177" s="117"/>
      <c r="F177" s="131" t="s">
        <v>36</v>
      </c>
      <c r="G177" s="116"/>
      <c r="H177" s="116"/>
      <c r="I177" s="117"/>
      <c r="J177" s="34"/>
      <c r="K177" s="35"/>
      <c r="L177" s="35"/>
      <c r="M177" s="54"/>
      <c r="N177" s="130">
        <f>SUM(N175:Q176)</f>
        <v>0</v>
      </c>
      <c r="O177" s="119"/>
      <c r="P177" s="119"/>
      <c r="Q177" s="119"/>
      <c r="R177" s="130">
        <f>SUM(R175:U176)</f>
        <v>0</v>
      </c>
      <c r="S177" s="119"/>
      <c r="T177" s="119"/>
      <c r="U177" s="119"/>
      <c r="V177" s="130">
        <f>SUM(V175:Y176)</f>
        <v>0</v>
      </c>
      <c r="W177" s="119"/>
      <c r="X177" s="119"/>
      <c r="Y177" s="119"/>
      <c r="Z177" s="130">
        <f>SUM(Z175:AC176)</f>
        <v>0</v>
      </c>
      <c r="AA177" s="119"/>
      <c r="AB177" s="119"/>
      <c r="AC177" s="119"/>
      <c r="AD177" s="130">
        <f>SUM(AD175:AG176)</f>
        <v>0</v>
      </c>
      <c r="AE177" s="119"/>
      <c r="AF177" s="119"/>
      <c r="AG177" s="119"/>
      <c r="AH177" s="130">
        <f>SUM(AH175:AK176)</f>
        <v>0</v>
      </c>
      <c r="AI177" s="119"/>
      <c r="AJ177" s="119"/>
      <c r="AK177" s="119"/>
      <c r="AL177" s="130">
        <f>SUM(AL175:AO176)</f>
        <v>0</v>
      </c>
      <c r="AM177" s="119"/>
      <c r="AN177" s="119"/>
      <c r="AO177" s="130">
        <f>SUM(AO175:AR176)</f>
        <v>0</v>
      </c>
      <c r="AP177" s="119"/>
      <c r="AQ177" s="119"/>
      <c r="AR177" s="40"/>
      <c r="AS177" s="15"/>
    </row>
    <row r="178" spans="1:85" customHeight="1" ht="13.5">
      <c r="A178" s="4"/>
      <c r="B178" s="126" t="s">
        <v>43</v>
      </c>
      <c r="C178" s="105"/>
      <c r="D178" s="105"/>
      <c r="E178" s="100"/>
      <c r="F178" s="128" t="s">
        <v>34</v>
      </c>
      <c r="G178" s="95"/>
      <c r="H178" s="95"/>
      <c r="I178" s="96"/>
      <c r="J178" s="34"/>
      <c r="K178" s="35"/>
      <c r="L178" s="35"/>
      <c r="M178" s="54"/>
      <c r="N178" s="130">
        <v>0</v>
      </c>
      <c r="O178" s="119"/>
      <c r="P178" s="119"/>
      <c r="Q178" s="119"/>
      <c r="R178" s="130">
        <v>0</v>
      </c>
      <c r="S178" s="119"/>
      <c r="T178" s="119"/>
      <c r="U178" s="119"/>
      <c r="V178" s="130">
        <v>0</v>
      </c>
      <c r="W178" s="119"/>
      <c r="X178" s="119"/>
      <c r="Y178" s="119"/>
      <c r="Z178" s="130">
        <v>0</v>
      </c>
      <c r="AA178" s="119"/>
      <c r="AB178" s="119"/>
      <c r="AC178" s="119"/>
      <c r="AD178" s="130">
        <v>0</v>
      </c>
      <c r="AE178" s="119"/>
      <c r="AF178" s="119"/>
      <c r="AG178" s="119"/>
      <c r="AH178" s="130">
        <v>0</v>
      </c>
      <c r="AI178" s="119"/>
      <c r="AJ178" s="119"/>
      <c r="AK178" s="119"/>
      <c r="AL178" s="130"/>
      <c r="AM178" s="119"/>
      <c r="AN178" s="119"/>
      <c r="AO178" s="130">
        <f>SUM(J178:AK178)</f>
        <v>0</v>
      </c>
      <c r="AP178" s="119"/>
      <c r="AQ178" s="119"/>
      <c r="AR178" s="40"/>
      <c r="AS178" s="15"/>
    </row>
    <row r="179" spans="1:85" customHeight="1" ht="13.5">
      <c r="A179" s="4"/>
      <c r="B179" s="127"/>
      <c r="C179" s="105"/>
      <c r="D179" s="105"/>
      <c r="E179" s="100"/>
      <c r="F179" s="131" t="s">
        <v>35</v>
      </c>
      <c r="G179" s="116"/>
      <c r="H179" s="116"/>
      <c r="I179" s="117"/>
      <c r="J179" s="34"/>
      <c r="K179" s="35"/>
      <c r="L179" s="35"/>
      <c r="M179" s="54"/>
      <c r="N179" s="130">
        <v>0</v>
      </c>
      <c r="O179" s="119"/>
      <c r="P179" s="119"/>
      <c r="Q179" s="119"/>
      <c r="R179" s="130">
        <v>0</v>
      </c>
      <c r="S179" s="119"/>
      <c r="T179" s="119"/>
      <c r="U179" s="119"/>
      <c r="V179" s="130">
        <v>0</v>
      </c>
      <c r="W179" s="119"/>
      <c r="X179" s="119"/>
      <c r="Y179" s="119"/>
      <c r="Z179" s="130">
        <v>0</v>
      </c>
      <c r="AA179" s="119"/>
      <c r="AB179" s="119"/>
      <c r="AC179" s="119"/>
      <c r="AD179" s="130">
        <v>0</v>
      </c>
      <c r="AE179" s="119"/>
      <c r="AF179" s="119"/>
      <c r="AG179" s="119"/>
      <c r="AH179" s="130">
        <v>0</v>
      </c>
      <c r="AI179" s="119"/>
      <c r="AJ179" s="119"/>
      <c r="AK179" s="119"/>
      <c r="AL179" s="130"/>
      <c r="AM179" s="119"/>
      <c r="AN179" s="119"/>
      <c r="AO179" s="130">
        <f>SUM(J179:AK179)</f>
        <v>0</v>
      </c>
      <c r="AP179" s="119"/>
      <c r="AQ179" s="119"/>
      <c r="AR179" s="40"/>
      <c r="AS179" s="15"/>
    </row>
    <row r="180" spans="1:85" customHeight="1" ht="13.5">
      <c r="A180" s="4"/>
      <c r="B180" s="115"/>
      <c r="C180" s="116"/>
      <c r="D180" s="116"/>
      <c r="E180" s="117"/>
      <c r="F180" s="131" t="s">
        <v>36</v>
      </c>
      <c r="G180" s="116"/>
      <c r="H180" s="116"/>
      <c r="I180" s="117"/>
      <c r="J180" s="34"/>
      <c r="K180" s="35"/>
      <c r="L180" s="35"/>
      <c r="M180" s="54"/>
      <c r="N180" s="130">
        <f>SUM(N178:Q179)</f>
        <v>0</v>
      </c>
      <c r="O180" s="119"/>
      <c r="P180" s="119"/>
      <c r="Q180" s="119"/>
      <c r="R180" s="130">
        <f>SUM(R178:U179)</f>
        <v>0</v>
      </c>
      <c r="S180" s="119"/>
      <c r="T180" s="119"/>
      <c r="U180" s="119"/>
      <c r="V180" s="130">
        <f>SUM(V178:Y179)</f>
        <v>0</v>
      </c>
      <c r="W180" s="119"/>
      <c r="X180" s="119"/>
      <c r="Y180" s="119"/>
      <c r="Z180" s="130">
        <f>SUM(Z178:AC179)</f>
        <v>0</v>
      </c>
      <c r="AA180" s="119"/>
      <c r="AB180" s="119"/>
      <c r="AC180" s="119"/>
      <c r="AD180" s="130">
        <f>SUM(AD178:AG179)</f>
        <v>0</v>
      </c>
      <c r="AE180" s="119"/>
      <c r="AF180" s="119"/>
      <c r="AG180" s="119"/>
      <c r="AH180" s="130">
        <f>SUM(AH178:AK179)</f>
        <v>0</v>
      </c>
      <c r="AI180" s="119"/>
      <c r="AJ180" s="119"/>
      <c r="AK180" s="119"/>
      <c r="AL180" s="130">
        <f>SUM(AL178:AO179)</f>
        <v>0</v>
      </c>
      <c r="AM180" s="119"/>
      <c r="AN180" s="119"/>
      <c r="AO180" s="130">
        <f>SUM(AO178:AR179)</f>
        <v>0</v>
      </c>
      <c r="AP180" s="119"/>
      <c r="AQ180" s="119"/>
      <c r="AR180" s="40"/>
      <c r="AS180" s="15"/>
    </row>
    <row r="181" spans="1:85" customHeight="1" ht="13.5">
      <c r="A181" s="4"/>
      <c r="B181" s="126" t="s">
        <v>44</v>
      </c>
      <c r="C181" s="105"/>
      <c r="D181" s="105"/>
      <c r="E181" s="100"/>
      <c r="F181" s="128" t="s">
        <v>34</v>
      </c>
      <c r="G181" s="95"/>
      <c r="H181" s="95"/>
      <c r="I181" s="96"/>
      <c r="J181" s="34"/>
      <c r="K181" s="35"/>
      <c r="L181" s="35"/>
      <c r="M181" s="54"/>
      <c r="N181" s="130"/>
      <c r="O181" s="119"/>
      <c r="P181" s="119"/>
      <c r="Q181" s="119"/>
      <c r="R181" s="130"/>
      <c r="S181" s="119"/>
      <c r="T181" s="119"/>
      <c r="U181" s="119"/>
      <c r="V181" s="130"/>
      <c r="W181" s="119"/>
      <c r="X181" s="119"/>
      <c r="Y181" s="119"/>
      <c r="Z181" s="130"/>
      <c r="AA181" s="119"/>
      <c r="AB181" s="119"/>
      <c r="AC181" s="119"/>
      <c r="AD181" s="130"/>
      <c r="AE181" s="119"/>
      <c r="AF181" s="119"/>
      <c r="AG181" s="119"/>
      <c r="AH181" s="130"/>
      <c r="AI181" s="119"/>
      <c r="AJ181" s="119"/>
      <c r="AK181" s="119"/>
      <c r="AL181" s="130"/>
      <c r="AM181" s="119"/>
      <c r="AN181" s="119"/>
      <c r="AO181" s="130">
        <f>SUM(J181:AK181)</f>
        <v>0</v>
      </c>
      <c r="AP181" s="119"/>
      <c r="AQ181" s="119"/>
      <c r="AR181" s="40"/>
      <c r="AS181" s="15"/>
    </row>
    <row r="182" spans="1:85" customHeight="1" ht="13.5">
      <c r="A182" s="4"/>
      <c r="B182" s="127"/>
      <c r="C182" s="105"/>
      <c r="D182" s="105"/>
      <c r="E182" s="100"/>
      <c r="F182" s="131" t="s">
        <v>35</v>
      </c>
      <c r="G182" s="116"/>
      <c r="H182" s="116"/>
      <c r="I182" s="117"/>
      <c r="J182" s="34"/>
      <c r="K182" s="35"/>
      <c r="L182" s="35"/>
      <c r="M182" s="54"/>
      <c r="N182" s="130"/>
      <c r="O182" s="119"/>
      <c r="P182" s="119"/>
      <c r="Q182" s="119"/>
      <c r="R182" s="130"/>
      <c r="S182" s="119"/>
      <c r="T182" s="119"/>
      <c r="U182" s="119"/>
      <c r="V182" s="130"/>
      <c r="W182" s="119"/>
      <c r="X182" s="119"/>
      <c r="Y182" s="119"/>
      <c r="Z182" s="130"/>
      <c r="AA182" s="119"/>
      <c r="AB182" s="119"/>
      <c r="AC182" s="119"/>
      <c r="AD182" s="130"/>
      <c r="AE182" s="119"/>
      <c r="AF182" s="119"/>
      <c r="AG182" s="119"/>
      <c r="AH182" s="130"/>
      <c r="AI182" s="119"/>
      <c r="AJ182" s="119"/>
      <c r="AK182" s="119"/>
      <c r="AL182" s="130"/>
      <c r="AM182" s="119"/>
      <c r="AN182" s="119"/>
      <c r="AO182" s="130">
        <f>SUM(J182:AK182)</f>
        <v>0</v>
      </c>
      <c r="AP182" s="119"/>
      <c r="AQ182" s="119"/>
      <c r="AR182" s="40"/>
      <c r="AS182" s="15"/>
    </row>
    <row r="183" spans="1:85" customHeight="1" ht="13.5">
      <c r="A183" s="4"/>
      <c r="B183" s="115"/>
      <c r="C183" s="116"/>
      <c r="D183" s="116"/>
      <c r="E183" s="117"/>
      <c r="F183" s="131" t="s">
        <v>36</v>
      </c>
      <c r="G183" s="116"/>
      <c r="H183" s="116"/>
      <c r="I183" s="117"/>
      <c r="J183" s="34"/>
      <c r="K183" s="35"/>
      <c r="L183" s="35"/>
      <c r="M183" s="54"/>
      <c r="N183" s="130">
        <f>SUM(N181:Q182)</f>
        <v>0</v>
      </c>
      <c r="O183" s="119"/>
      <c r="P183" s="119"/>
      <c r="Q183" s="119"/>
      <c r="R183" s="130">
        <f>SUM(R181:U182)</f>
        <v>0</v>
      </c>
      <c r="S183" s="119"/>
      <c r="T183" s="119"/>
      <c r="U183" s="119"/>
      <c r="V183" s="130">
        <f>SUM(V181:Y182)</f>
        <v>0</v>
      </c>
      <c r="W183" s="119"/>
      <c r="X183" s="119"/>
      <c r="Y183" s="119"/>
      <c r="Z183" s="130">
        <f>SUM(Z181:AC182)</f>
        <v>0</v>
      </c>
      <c r="AA183" s="119"/>
      <c r="AB183" s="119"/>
      <c r="AC183" s="119"/>
      <c r="AD183" s="130">
        <f>SUM(AD181:AG182)</f>
        <v>0</v>
      </c>
      <c r="AE183" s="119"/>
      <c r="AF183" s="119"/>
      <c r="AG183" s="119"/>
      <c r="AH183" s="130">
        <f>SUM(AH181:AK182)</f>
        <v>0</v>
      </c>
      <c r="AI183" s="119"/>
      <c r="AJ183" s="119"/>
      <c r="AK183" s="119"/>
      <c r="AL183" s="130">
        <f>SUM(AL181:AO182)</f>
        <v>0</v>
      </c>
      <c r="AM183" s="119"/>
      <c r="AN183" s="119"/>
      <c r="AO183" s="130">
        <f>SUM(AO181:AR182)</f>
        <v>0</v>
      </c>
      <c r="AP183" s="119"/>
      <c r="AQ183" s="119"/>
      <c r="AR183" s="40"/>
      <c r="AS183" s="15"/>
    </row>
    <row r="184" spans="1:85" customHeight="1" ht="13.5">
      <c r="A184" s="4"/>
      <c r="B184" s="134" t="s">
        <v>45</v>
      </c>
      <c r="C184" s="91"/>
      <c r="D184" s="91"/>
      <c r="E184" s="93"/>
      <c r="F184" s="128" t="s">
        <v>34</v>
      </c>
      <c r="G184" s="95"/>
      <c r="H184" s="95"/>
      <c r="I184" s="96"/>
      <c r="J184" s="34"/>
      <c r="K184" s="35"/>
      <c r="L184" s="35"/>
      <c r="M184" s="54"/>
      <c r="N184" s="130"/>
      <c r="O184" s="119"/>
      <c r="P184" s="119"/>
      <c r="Q184" s="119"/>
      <c r="R184" s="130"/>
      <c r="S184" s="119"/>
      <c r="T184" s="119"/>
      <c r="U184" s="119"/>
      <c r="V184" s="130"/>
      <c r="W184" s="119"/>
      <c r="X184" s="119"/>
      <c r="Y184" s="119"/>
      <c r="Z184" s="130"/>
      <c r="AA184" s="119"/>
      <c r="AB184" s="119"/>
      <c r="AC184" s="119"/>
      <c r="AD184" s="130"/>
      <c r="AE184" s="119"/>
      <c r="AF184" s="119"/>
      <c r="AG184" s="119"/>
      <c r="AH184" s="130"/>
      <c r="AI184" s="119"/>
      <c r="AJ184" s="119"/>
      <c r="AK184" s="119"/>
      <c r="AL184" s="130"/>
      <c r="AM184" s="119"/>
      <c r="AN184" s="119"/>
      <c r="AO184" s="130">
        <f>SUM(J184:AK184)</f>
        <v>0</v>
      </c>
      <c r="AP184" s="119"/>
      <c r="AQ184" s="119"/>
      <c r="AR184" s="40"/>
      <c r="AS184" s="15"/>
    </row>
    <row r="185" spans="1:85" customHeight="1" ht="13.5">
      <c r="A185" s="4"/>
      <c r="B185" s="127"/>
      <c r="C185" s="105"/>
      <c r="D185" s="105"/>
      <c r="E185" s="100"/>
      <c r="F185" s="131" t="s">
        <v>35</v>
      </c>
      <c r="G185" s="116"/>
      <c r="H185" s="116"/>
      <c r="I185" s="117"/>
      <c r="J185" s="34"/>
      <c r="K185" s="35"/>
      <c r="L185" s="35"/>
      <c r="M185" s="54"/>
      <c r="N185" s="130"/>
      <c r="O185" s="119"/>
      <c r="P185" s="119"/>
      <c r="Q185" s="119"/>
      <c r="R185" s="130"/>
      <c r="S185" s="119"/>
      <c r="T185" s="119"/>
      <c r="U185" s="119"/>
      <c r="V185" s="130"/>
      <c r="W185" s="119"/>
      <c r="X185" s="119"/>
      <c r="Y185" s="119"/>
      <c r="Z185" s="130"/>
      <c r="AA185" s="119"/>
      <c r="AB185" s="119"/>
      <c r="AC185" s="119"/>
      <c r="AD185" s="130"/>
      <c r="AE185" s="119"/>
      <c r="AF185" s="119"/>
      <c r="AG185" s="119"/>
      <c r="AH185" s="130"/>
      <c r="AI185" s="119"/>
      <c r="AJ185" s="119"/>
      <c r="AK185" s="119"/>
      <c r="AL185" s="130"/>
      <c r="AM185" s="119"/>
      <c r="AN185" s="119"/>
      <c r="AO185" s="130">
        <f>SUM(J185:AK185)</f>
        <v>0</v>
      </c>
      <c r="AP185" s="119"/>
      <c r="AQ185" s="119"/>
      <c r="AR185" s="40"/>
      <c r="AS185" s="15"/>
    </row>
    <row r="186" spans="1:85" customHeight="1" ht="13.5">
      <c r="A186" s="4"/>
      <c r="B186" s="115"/>
      <c r="C186" s="116"/>
      <c r="D186" s="116"/>
      <c r="E186" s="117"/>
      <c r="F186" s="131" t="s">
        <v>36</v>
      </c>
      <c r="G186" s="116"/>
      <c r="H186" s="116"/>
      <c r="I186" s="117"/>
      <c r="J186" s="135">
        <f>SUM(J159,J162,J165,J168,J171,J174,J177,J180,J183)</f>
        <v>51</v>
      </c>
      <c r="K186" s="95"/>
      <c r="L186" s="95"/>
      <c r="M186" s="96"/>
      <c r="N186" s="140">
        <f>SUM(N159,N162,N165,N168,N171,N174,N177,N180,N183)</f>
        <v>127</v>
      </c>
      <c r="O186" s="116"/>
      <c r="P186" s="116"/>
      <c r="Q186" s="117"/>
      <c r="R186" s="140">
        <f>SUM(R159,R162,R165,R168,R171,R174,R177,R180,R183)</f>
        <v>103</v>
      </c>
      <c r="S186" s="116"/>
      <c r="T186" s="116"/>
      <c r="U186" s="117"/>
      <c r="V186" s="140">
        <f>SUM(V159,V162,V165,V168,V171,V174,V177,V180,V183)</f>
        <v>115</v>
      </c>
      <c r="W186" s="116"/>
      <c r="X186" s="116"/>
      <c r="Y186" s="117"/>
      <c r="Z186" s="140">
        <f>SUM(Z159,Z162,Z165,Z168,Z171,Z174,Z177,Z180,Z183)</f>
        <v>9</v>
      </c>
      <c r="AA186" s="116"/>
      <c r="AB186" s="116"/>
      <c r="AC186" s="117"/>
      <c r="AD186" s="140">
        <f>SUM(AD159,AD162,AD165,AD168,AD171,AD174,AD177,AD180,AD183)</f>
        <v>27</v>
      </c>
      <c r="AE186" s="116"/>
      <c r="AF186" s="116"/>
      <c r="AG186" s="117"/>
      <c r="AH186" s="140">
        <f>SUM(AH159,AH162,AH165,AH168,AH171,AH174,AH177,AH180,AH183)</f>
        <v>13</v>
      </c>
      <c r="AI186" s="116"/>
      <c r="AJ186" s="116"/>
      <c r="AK186" s="117"/>
      <c r="AL186" s="140">
        <f>SUM(AL159,AL162,AL165,AL168,AL171,AL174,AL177,AL180,AL183)</f>
        <v>450</v>
      </c>
      <c r="AM186" s="116"/>
      <c r="AN186" s="117"/>
      <c r="AO186" s="140">
        <f>SUM(AO159,AO162,AO165,AO168,AO171,AO174,AO177,AO180,AO183)</f>
        <v>450</v>
      </c>
      <c r="AP186" s="116"/>
      <c r="AQ186" s="117"/>
      <c r="AR186" s="15"/>
      <c r="AS186" s="15"/>
    </row>
    <row r="187" spans="1:85" customHeight="1" ht="13.5">
      <c r="A187" s="4"/>
      <c r="B187" s="17"/>
      <c r="C187" s="17"/>
      <c r="D187" s="17"/>
      <c r="E187" s="17"/>
      <c r="F187" s="17"/>
      <c r="G187" s="17"/>
      <c r="H187" s="17"/>
      <c r="I187" s="17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</row>
    <row r="188" spans="1:85" customHeight="1" ht="13.5">
      <c r="A188" s="4"/>
      <c r="B188" s="56" t="s">
        <v>50</v>
      </c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</row>
    <row r="189" spans="1:85" customHeight="1" ht="13.5">
      <c r="A189" s="4"/>
      <c r="B189" s="118" t="s">
        <v>51</v>
      </c>
      <c r="C189" s="118"/>
      <c r="D189" s="118"/>
      <c r="E189" s="118"/>
      <c r="F189" s="118" t="s">
        <v>23</v>
      </c>
      <c r="G189" s="118"/>
      <c r="H189" s="118"/>
      <c r="I189" s="141"/>
      <c r="J189" s="142" t="s">
        <v>52</v>
      </c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  <c r="AA189" s="143"/>
      <c r="AB189" s="143"/>
      <c r="AC189" s="143"/>
      <c r="AD189" s="143"/>
      <c r="AE189" s="143"/>
      <c r="AF189" s="143"/>
      <c r="AG189" s="143"/>
      <c r="AH189" s="143"/>
      <c r="AI189" s="143"/>
      <c r="AJ189" s="143"/>
      <c r="AK189" s="143"/>
      <c r="AL189" s="143"/>
      <c r="AM189" s="143"/>
      <c r="AN189" s="143"/>
      <c r="AO189" s="143"/>
      <c r="AP189" s="143"/>
      <c r="AQ189" s="143"/>
      <c r="AR189" s="143"/>
      <c r="AS189" s="180" t="s">
        <v>53</v>
      </c>
      <c r="AT189" s="180"/>
      <c r="AU189" s="180"/>
      <c r="AV189" s="180"/>
      <c r="AW189" s="180"/>
      <c r="AX189" s="180"/>
      <c r="AY189" s="180"/>
      <c r="AZ189" s="180"/>
      <c r="BA189" s="180"/>
      <c r="BB189" s="180"/>
      <c r="BC189" s="180"/>
      <c r="BD189" s="180"/>
      <c r="BE189" s="180"/>
      <c r="BF189" s="180"/>
      <c r="BG189" s="180"/>
      <c r="BH189" s="180"/>
      <c r="BI189" s="180"/>
      <c r="BJ189" s="180"/>
      <c r="BK189" s="180"/>
      <c r="BL189" s="180"/>
      <c r="BM189" s="180"/>
      <c r="BN189" s="180"/>
      <c r="BO189" s="180"/>
      <c r="BP189" s="180"/>
      <c r="BQ189" s="180"/>
      <c r="BR189" s="180"/>
      <c r="BS189" s="180"/>
      <c r="BT189" s="180"/>
      <c r="BU189" s="180"/>
      <c r="BV189" s="180"/>
      <c r="BW189" s="180"/>
      <c r="BX189" s="180"/>
      <c r="BY189" s="180"/>
      <c r="BZ189" s="180"/>
      <c r="CA189" s="180"/>
    </row>
    <row r="190" spans="1:85" customHeight="1" ht="13.5">
      <c r="A190" s="4"/>
      <c r="B190" s="118"/>
      <c r="C190" s="118"/>
      <c r="D190" s="118"/>
      <c r="E190" s="118"/>
      <c r="F190" s="118"/>
      <c r="G190" s="118"/>
      <c r="H190" s="118"/>
      <c r="I190" s="141"/>
      <c r="J190" s="181" t="s">
        <v>25</v>
      </c>
      <c r="K190" s="182"/>
      <c r="L190" s="182"/>
      <c r="M190" s="182"/>
      <c r="N190" s="182"/>
      <c r="O190" s="143"/>
      <c r="P190" s="143"/>
      <c r="Q190" s="181" t="s">
        <v>26</v>
      </c>
      <c r="R190" s="182"/>
      <c r="S190" s="182"/>
      <c r="T190" s="182"/>
      <c r="U190" s="182"/>
      <c r="V190" s="143"/>
      <c r="W190" s="143"/>
      <c r="X190" s="181" t="s">
        <v>54</v>
      </c>
      <c r="Y190" s="182"/>
      <c r="Z190" s="182"/>
      <c r="AA190" s="182"/>
      <c r="AB190" s="182"/>
      <c r="AC190" s="143"/>
      <c r="AD190" s="143"/>
      <c r="AE190" s="181" t="s">
        <v>55</v>
      </c>
      <c r="AF190" s="182"/>
      <c r="AG190" s="182"/>
      <c r="AH190" s="182"/>
      <c r="AI190" s="182"/>
      <c r="AJ190" s="143"/>
      <c r="AK190" s="143"/>
      <c r="AL190" s="181" t="s">
        <v>56</v>
      </c>
      <c r="AM190" s="182"/>
      <c r="AN190" s="182"/>
      <c r="AO190" s="182"/>
      <c r="AP190" s="182"/>
      <c r="AQ190" s="143"/>
      <c r="AR190" s="143"/>
      <c r="AS190" s="180" t="s">
        <v>25</v>
      </c>
      <c r="AT190" s="180"/>
      <c r="AU190" s="180"/>
      <c r="AV190" s="180"/>
      <c r="AW190" s="180"/>
      <c r="AX190" s="180"/>
      <c r="AY190" s="180"/>
      <c r="AZ190" s="180" t="s">
        <v>26</v>
      </c>
      <c r="BA190" s="180"/>
      <c r="BB190" s="180"/>
      <c r="BC190" s="180"/>
      <c r="BD190" s="180"/>
      <c r="BE190" s="180"/>
      <c r="BF190" s="180"/>
      <c r="BG190" s="180" t="s">
        <v>54</v>
      </c>
      <c r="BH190" s="180"/>
      <c r="BI190" s="180"/>
      <c r="BJ190" s="180"/>
      <c r="BK190" s="180"/>
      <c r="BL190" s="180"/>
      <c r="BM190" s="180"/>
      <c r="BN190" s="180" t="s">
        <v>55</v>
      </c>
      <c r="BO190" s="180"/>
      <c r="BP190" s="180"/>
      <c r="BQ190" s="180"/>
      <c r="BR190" s="180"/>
      <c r="BS190" s="180"/>
      <c r="BT190" s="180"/>
      <c r="BU190" s="180" t="s">
        <v>56</v>
      </c>
      <c r="BV190" s="180"/>
      <c r="BW190" s="180"/>
      <c r="BX190" s="180"/>
      <c r="BY190" s="180"/>
      <c r="BZ190" s="180"/>
      <c r="CA190" s="180"/>
    </row>
    <row r="191" spans="1:85" customHeight="1" ht="13.5">
      <c r="A191" s="4"/>
      <c r="B191" s="118"/>
      <c r="C191" s="118"/>
      <c r="D191" s="118"/>
      <c r="E191" s="118"/>
      <c r="F191" s="118"/>
      <c r="G191" s="118"/>
      <c r="H191" s="118"/>
      <c r="I191" s="141"/>
      <c r="J191" s="163" t="s">
        <v>57</v>
      </c>
      <c r="K191" s="163"/>
      <c r="L191" s="163"/>
      <c r="M191" s="163"/>
      <c r="N191" s="163"/>
      <c r="O191" s="157" t="s">
        <v>58</v>
      </c>
      <c r="P191" s="154"/>
      <c r="Q191" s="163" t="s">
        <v>57</v>
      </c>
      <c r="R191" s="163"/>
      <c r="S191" s="163"/>
      <c r="T191" s="163"/>
      <c r="U191" s="163"/>
      <c r="V191" s="157" t="s">
        <v>58</v>
      </c>
      <c r="W191" s="154"/>
      <c r="X191" s="163" t="s">
        <v>57</v>
      </c>
      <c r="Y191" s="163"/>
      <c r="Z191" s="163"/>
      <c r="AA191" s="163"/>
      <c r="AB191" s="163"/>
      <c r="AC191" s="157" t="s">
        <v>58</v>
      </c>
      <c r="AD191" s="154"/>
      <c r="AE191" s="163" t="s">
        <v>57</v>
      </c>
      <c r="AF191" s="163"/>
      <c r="AG191" s="163"/>
      <c r="AH191" s="163"/>
      <c r="AI191" s="163"/>
      <c r="AJ191" s="157" t="s">
        <v>58</v>
      </c>
      <c r="AK191" s="154"/>
      <c r="AL191" s="163" t="s">
        <v>57</v>
      </c>
      <c r="AM191" s="163"/>
      <c r="AN191" s="163"/>
      <c r="AO191" s="163"/>
      <c r="AP191" s="163"/>
      <c r="AQ191" s="157" t="s">
        <v>58</v>
      </c>
      <c r="AR191" s="157"/>
      <c r="AS191" s="163" t="s">
        <v>57</v>
      </c>
      <c r="AT191" s="163"/>
      <c r="AU191" s="163"/>
      <c r="AV191" s="163"/>
      <c r="AW191" s="163"/>
      <c r="AX191" s="163" t="s">
        <v>58</v>
      </c>
      <c r="AY191" s="163"/>
      <c r="AZ191" s="163" t="s">
        <v>57</v>
      </c>
      <c r="BA191" s="163"/>
      <c r="BB191" s="163"/>
      <c r="BC191" s="163"/>
      <c r="BD191" s="163"/>
      <c r="BE191" s="163" t="s">
        <v>58</v>
      </c>
      <c r="BF191" s="163"/>
      <c r="BG191" s="163" t="s">
        <v>57</v>
      </c>
      <c r="BH191" s="163"/>
      <c r="BI191" s="163"/>
      <c r="BJ191" s="163"/>
      <c r="BK191" s="163"/>
      <c r="BL191" s="163" t="s">
        <v>58</v>
      </c>
      <c r="BM191" s="163"/>
      <c r="BN191" s="163" t="s">
        <v>57</v>
      </c>
      <c r="BO191" s="163"/>
      <c r="BP191" s="163"/>
      <c r="BQ191" s="163"/>
      <c r="BR191" s="163"/>
      <c r="BS191" s="163" t="s">
        <v>58</v>
      </c>
      <c r="BT191" s="163"/>
      <c r="BU191" s="163" t="s">
        <v>57</v>
      </c>
      <c r="BV191" s="163"/>
      <c r="BW191" s="163"/>
      <c r="BX191" s="163"/>
      <c r="BY191" s="163"/>
      <c r="BZ191" s="163" t="s">
        <v>58</v>
      </c>
      <c r="CA191" s="163"/>
    </row>
    <row r="192" spans="1:85" customHeight="1" ht="13.5">
      <c r="A192" s="4"/>
      <c r="B192" s="118"/>
      <c r="C192" s="118"/>
      <c r="D192" s="118"/>
      <c r="E192" s="118"/>
      <c r="F192" s="118"/>
      <c r="G192" s="118"/>
      <c r="H192" s="118"/>
      <c r="I192" s="141"/>
      <c r="J192" s="163"/>
      <c r="K192" s="163"/>
      <c r="L192" s="163"/>
      <c r="M192" s="163"/>
      <c r="N192" s="163"/>
      <c r="O192" s="158"/>
      <c r="P192" s="156"/>
      <c r="Q192" s="163"/>
      <c r="R192" s="163"/>
      <c r="S192" s="163"/>
      <c r="T192" s="163"/>
      <c r="U192" s="163"/>
      <c r="V192" s="158"/>
      <c r="W192" s="156"/>
      <c r="X192" s="163"/>
      <c r="Y192" s="163"/>
      <c r="Z192" s="163"/>
      <c r="AA192" s="163"/>
      <c r="AB192" s="163"/>
      <c r="AC192" s="158"/>
      <c r="AD192" s="156"/>
      <c r="AE192" s="163"/>
      <c r="AF192" s="163"/>
      <c r="AG192" s="163"/>
      <c r="AH192" s="163"/>
      <c r="AI192" s="163"/>
      <c r="AJ192" s="158"/>
      <c r="AK192" s="156"/>
      <c r="AL192" s="163"/>
      <c r="AM192" s="163"/>
      <c r="AN192" s="163"/>
      <c r="AO192" s="163"/>
      <c r="AP192" s="163"/>
      <c r="AQ192" s="158"/>
      <c r="AR192" s="158"/>
      <c r="AS192" s="163"/>
      <c r="AT192" s="163"/>
      <c r="AU192" s="163"/>
      <c r="AV192" s="163"/>
      <c r="AW192" s="163"/>
      <c r="AX192" s="163"/>
      <c r="AY192" s="163"/>
      <c r="AZ192" s="163"/>
      <c r="BA192" s="163"/>
      <c r="BB192" s="163"/>
      <c r="BC192" s="163"/>
      <c r="BD192" s="163"/>
      <c r="BE192" s="163"/>
      <c r="BF192" s="163"/>
      <c r="BG192" s="163"/>
      <c r="BH192" s="163"/>
      <c r="BI192" s="163"/>
      <c r="BJ192" s="163"/>
      <c r="BK192" s="163"/>
      <c r="BL192" s="163"/>
      <c r="BM192" s="163"/>
      <c r="BN192" s="163"/>
      <c r="BO192" s="163"/>
      <c r="BP192" s="163"/>
      <c r="BQ192" s="163"/>
      <c r="BR192" s="163"/>
      <c r="BS192" s="163"/>
      <c r="BT192" s="163"/>
      <c r="BU192" s="163"/>
      <c r="BV192" s="163"/>
      <c r="BW192" s="163"/>
      <c r="BX192" s="163"/>
      <c r="BY192" s="163"/>
      <c r="BZ192" s="163"/>
      <c r="CA192" s="163"/>
    </row>
    <row r="193" spans="1:85" customHeight="1" ht="13.5">
      <c r="A193" s="4"/>
      <c r="B193" s="126" t="s">
        <v>33</v>
      </c>
      <c r="C193" s="144"/>
      <c r="D193" s="144"/>
      <c r="E193" s="145"/>
      <c r="F193" s="148" t="s">
        <v>34</v>
      </c>
      <c r="G193" s="149"/>
      <c r="H193" s="149"/>
      <c r="I193" s="150"/>
      <c r="J193" s="151">
        <v>23</v>
      </c>
      <c r="K193" s="152"/>
      <c r="L193" s="152"/>
      <c r="M193" s="152"/>
      <c r="N193" s="153"/>
      <c r="O193" s="82"/>
      <c r="P193" s="84"/>
      <c r="Q193" s="82">
        <v>21</v>
      </c>
      <c r="R193" s="83"/>
      <c r="S193" s="83"/>
      <c r="T193" s="83"/>
      <c r="U193" s="84"/>
      <c r="V193" s="82"/>
      <c r="W193" s="84"/>
      <c r="X193" s="82">
        <v>15</v>
      </c>
      <c r="Y193" s="83"/>
      <c r="Z193" s="83"/>
      <c r="AA193" s="83"/>
      <c r="AB193" s="84"/>
      <c r="AC193" s="82"/>
      <c r="AD193" s="84"/>
      <c r="AE193" s="82">
        <v>22</v>
      </c>
      <c r="AF193" s="83"/>
      <c r="AG193" s="83"/>
      <c r="AH193" s="83"/>
      <c r="AI193" s="84"/>
      <c r="AJ193" s="82"/>
      <c r="AK193" s="84"/>
      <c r="AL193" s="82">
        <v>13</v>
      </c>
      <c r="AM193" s="83"/>
      <c r="AN193" s="83"/>
      <c r="AO193" s="83"/>
      <c r="AP193" s="84"/>
      <c r="AQ193" s="82"/>
      <c r="AR193" s="83"/>
      <c r="AS193" s="82">
        <v>0</v>
      </c>
      <c r="AT193" s="83"/>
      <c r="AU193" s="83"/>
      <c r="AV193" s="83"/>
      <c r="AW193" s="84"/>
      <c r="AX193" s="166"/>
      <c r="AY193" s="166"/>
      <c r="AZ193" s="82">
        <v>0</v>
      </c>
      <c r="BA193" s="83"/>
      <c r="BB193" s="83"/>
      <c r="BC193" s="83"/>
      <c r="BD193" s="84"/>
      <c r="BE193" s="166"/>
      <c r="BF193" s="166"/>
      <c r="BG193" s="82">
        <v>0</v>
      </c>
      <c r="BH193" s="83"/>
      <c r="BI193" s="83"/>
      <c r="BJ193" s="83"/>
      <c r="BK193" s="84"/>
      <c r="BL193" s="166"/>
      <c r="BM193" s="166"/>
      <c r="BN193" s="82">
        <v>0</v>
      </c>
      <c r="BO193" s="83"/>
      <c r="BP193" s="83"/>
      <c r="BQ193" s="83"/>
      <c r="BR193" s="84"/>
      <c r="BS193" s="166"/>
      <c r="BT193" s="166"/>
      <c r="BU193" s="82">
        <v>0</v>
      </c>
      <c r="BV193" s="83"/>
      <c r="BW193" s="83"/>
      <c r="BX193" s="83"/>
      <c r="BY193" s="84"/>
      <c r="BZ193" s="166"/>
      <c r="CA193" s="166"/>
    </row>
    <row r="194" spans="1:85" customHeight="1" ht="13.5">
      <c r="A194" s="4"/>
      <c r="B194" s="126"/>
      <c r="C194" s="144"/>
      <c r="D194" s="144"/>
      <c r="E194" s="145"/>
      <c r="F194" s="167" t="s">
        <v>35</v>
      </c>
      <c r="G194" s="168"/>
      <c r="H194" s="168"/>
      <c r="I194" s="169"/>
      <c r="J194" s="82">
        <v>18</v>
      </c>
      <c r="K194" s="83"/>
      <c r="L194" s="83"/>
      <c r="M194" s="83"/>
      <c r="N194" s="84"/>
      <c r="O194" s="82"/>
      <c r="P194" s="84"/>
      <c r="Q194" s="82">
        <v>16</v>
      </c>
      <c r="R194" s="83"/>
      <c r="S194" s="83"/>
      <c r="T194" s="83"/>
      <c r="U194" s="84"/>
      <c r="V194" s="82"/>
      <c r="W194" s="84"/>
      <c r="X194" s="82">
        <v>14</v>
      </c>
      <c r="Y194" s="83"/>
      <c r="Z194" s="83"/>
      <c r="AA194" s="83"/>
      <c r="AB194" s="84"/>
      <c r="AC194" s="82"/>
      <c r="AD194" s="84"/>
      <c r="AE194" s="82">
        <v>17</v>
      </c>
      <c r="AF194" s="83"/>
      <c r="AG194" s="83"/>
      <c r="AH194" s="83"/>
      <c r="AI194" s="84"/>
      <c r="AJ194" s="82"/>
      <c r="AK194" s="84"/>
      <c r="AL194" s="82">
        <v>17</v>
      </c>
      <c r="AM194" s="83"/>
      <c r="AN194" s="83"/>
      <c r="AO194" s="83"/>
      <c r="AP194" s="84"/>
      <c r="AQ194" s="82"/>
      <c r="AR194" s="83"/>
      <c r="AS194" s="82">
        <v>0</v>
      </c>
      <c r="AT194" s="83"/>
      <c r="AU194" s="83"/>
      <c r="AV194" s="83"/>
      <c r="AW194" s="84"/>
      <c r="AX194" s="166"/>
      <c r="AY194" s="166"/>
      <c r="AZ194" s="82">
        <v>0</v>
      </c>
      <c r="BA194" s="83"/>
      <c r="BB194" s="83"/>
      <c r="BC194" s="83"/>
      <c r="BD194" s="84"/>
      <c r="BE194" s="166"/>
      <c r="BF194" s="166"/>
      <c r="BG194" s="82">
        <v>0</v>
      </c>
      <c r="BH194" s="83"/>
      <c r="BI194" s="83"/>
      <c r="BJ194" s="83"/>
      <c r="BK194" s="84"/>
      <c r="BL194" s="166"/>
      <c r="BM194" s="166"/>
      <c r="BN194" s="82">
        <v>0</v>
      </c>
      <c r="BO194" s="83"/>
      <c r="BP194" s="83"/>
      <c r="BQ194" s="83"/>
      <c r="BR194" s="84"/>
      <c r="BS194" s="166"/>
      <c r="BT194" s="166"/>
      <c r="BU194" s="82">
        <v>0</v>
      </c>
      <c r="BV194" s="83"/>
      <c r="BW194" s="83"/>
      <c r="BX194" s="83"/>
      <c r="BY194" s="84"/>
      <c r="BZ194" s="166"/>
      <c r="CA194" s="166"/>
    </row>
    <row r="195" spans="1:85" customHeight="1" ht="13.5">
      <c r="A195" s="4"/>
      <c r="B195" s="131"/>
      <c r="C195" s="146"/>
      <c r="D195" s="146"/>
      <c r="E195" s="147"/>
      <c r="F195" s="167" t="s">
        <v>36</v>
      </c>
      <c r="G195" s="168"/>
      <c r="H195" s="168"/>
      <c r="I195" s="169"/>
      <c r="J195" s="57">
        <f>SUM(J193:N194)</f>
        <v>41</v>
      </c>
      <c r="K195" s="83"/>
      <c r="L195" s="83"/>
      <c r="M195" s="83"/>
      <c r="N195" s="84"/>
      <c r="O195" s="57">
        <f>SUM(O193:P194)</f>
        <v>0</v>
      </c>
      <c r="P195" s="84"/>
      <c r="Q195" s="57">
        <f>SUM(Q193:U194)</f>
        <v>37</v>
      </c>
      <c r="R195" s="83"/>
      <c r="S195" s="83"/>
      <c r="T195" s="83"/>
      <c r="U195" s="84"/>
      <c r="V195" s="57">
        <f>SUM(V193:W194)</f>
        <v>0</v>
      </c>
      <c r="W195" s="84"/>
      <c r="X195" s="57">
        <f>SUM(X193:AB194)</f>
        <v>29</v>
      </c>
      <c r="Y195" s="83"/>
      <c r="Z195" s="83"/>
      <c r="AA195" s="83"/>
      <c r="AB195" s="84"/>
      <c r="AC195" s="57">
        <f>SUM(AC193:AD194)</f>
        <v>0</v>
      </c>
      <c r="AD195" s="84"/>
      <c r="AE195" s="57">
        <f>SUM(AE193:AI194)</f>
        <v>39</v>
      </c>
      <c r="AF195" s="83"/>
      <c r="AG195" s="83"/>
      <c r="AH195" s="83"/>
      <c r="AI195" s="84"/>
      <c r="AJ195" s="57">
        <f>SUM(AJ193:AK194)</f>
        <v>0</v>
      </c>
      <c r="AK195" s="84"/>
      <c r="AL195" s="57">
        <f>SUM(AL193:AP194)</f>
        <v>30</v>
      </c>
      <c r="AM195" s="83"/>
      <c r="AN195" s="83"/>
      <c r="AO195" s="83"/>
      <c r="AP195" s="84"/>
      <c r="AQ195" s="57">
        <f>SUM(AQ193:AR194)</f>
        <v>0</v>
      </c>
      <c r="AR195" s="83"/>
      <c r="AS195" s="166">
        <f>SUM(AS193:AW194)</f>
        <v>0</v>
      </c>
      <c r="AT195" s="166"/>
      <c r="AU195" s="166"/>
      <c r="AV195" s="166"/>
      <c r="AW195" s="166"/>
      <c r="AX195" s="166">
        <f>SUM(AX193:AY194)</f>
        <v>0</v>
      </c>
      <c r="AY195" s="166"/>
      <c r="AZ195" s="166">
        <f>SUM(AZ193:BD194)</f>
        <v>0</v>
      </c>
      <c r="BA195" s="166"/>
      <c r="BB195" s="166"/>
      <c r="BC195" s="166"/>
      <c r="BD195" s="166"/>
      <c r="BE195" s="166">
        <f>SUM(BE193:BF194)</f>
        <v>0</v>
      </c>
      <c r="BF195" s="166"/>
      <c r="BG195" s="166">
        <f>SUM(BG193:BK194)</f>
        <v>0</v>
      </c>
      <c r="BH195" s="166"/>
      <c r="BI195" s="166"/>
      <c r="BJ195" s="166"/>
      <c r="BK195" s="166"/>
      <c r="BL195" s="166">
        <f>SUM(BL193:BM194)</f>
        <v>0</v>
      </c>
      <c r="BM195" s="166"/>
      <c r="BN195" s="166">
        <f>SUM(BN193:BR194)</f>
        <v>0</v>
      </c>
      <c r="BO195" s="166"/>
      <c r="BP195" s="166"/>
      <c r="BQ195" s="166"/>
      <c r="BR195" s="166"/>
      <c r="BS195" s="166">
        <f>SUM(BS193:BT194)</f>
        <v>0</v>
      </c>
      <c r="BT195" s="166"/>
      <c r="BU195" s="166">
        <f>SUM(BU193:BY194)</f>
        <v>0</v>
      </c>
      <c r="BV195" s="166"/>
      <c r="BW195" s="166"/>
      <c r="BX195" s="166"/>
      <c r="BY195" s="166"/>
      <c r="BZ195" s="166">
        <f>SUM(BZ193:CA194)</f>
        <v>0</v>
      </c>
      <c r="CA195" s="166"/>
    </row>
    <row r="196" spans="1:85" customHeight="1" ht="13.5">
      <c r="A196" s="4"/>
      <c r="B196" s="134" t="s">
        <v>37</v>
      </c>
      <c r="C196" s="171"/>
      <c r="D196" s="171"/>
      <c r="E196" s="172"/>
      <c r="F196" s="128" t="s">
        <v>34</v>
      </c>
      <c r="G196" s="173"/>
      <c r="H196" s="173"/>
      <c r="I196" s="174"/>
      <c r="J196" s="82">
        <v>21</v>
      </c>
      <c r="K196" s="83"/>
      <c r="L196" s="83"/>
      <c r="M196" s="83"/>
      <c r="N196" s="84"/>
      <c r="O196" s="82"/>
      <c r="P196" s="84"/>
      <c r="Q196" s="82">
        <v>11</v>
      </c>
      <c r="R196" s="83"/>
      <c r="S196" s="83"/>
      <c r="T196" s="83"/>
      <c r="U196" s="84"/>
      <c r="V196" s="82"/>
      <c r="W196" s="84"/>
      <c r="X196" s="82">
        <v>20</v>
      </c>
      <c r="Y196" s="83"/>
      <c r="Z196" s="83"/>
      <c r="AA196" s="83"/>
      <c r="AB196" s="84"/>
      <c r="AC196" s="82"/>
      <c r="AD196" s="84"/>
      <c r="AE196" s="82">
        <v>21</v>
      </c>
      <c r="AF196" s="83"/>
      <c r="AG196" s="83"/>
      <c r="AH196" s="83"/>
      <c r="AI196" s="84"/>
      <c r="AJ196" s="82"/>
      <c r="AK196" s="84"/>
      <c r="AL196" s="82">
        <v>19</v>
      </c>
      <c r="AM196" s="83"/>
      <c r="AN196" s="83"/>
      <c r="AO196" s="83"/>
      <c r="AP196" s="84"/>
      <c r="AQ196" s="82"/>
      <c r="AR196" s="83"/>
      <c r="AS196" s="82">
        <v>0</v>
      </c>
      <c r="AT196" s="83"/>
      <c r="AU196" s="83"/>
      <c r="AV196" s="83"/>
      <c r="AW196" s="84"/>
      <c r="AX196" s="166"/>
      <c r="AY196" s="166"/>
      <c r="AZ196" s="82">
        <v>0</v>
      </c>
      <c r="BA196" s="83"/>
      <c r="BB196" s="83"/>
      <c r="BC196" s="83"/>
      <c r="BD196" s="84"/>
      <c r="BE196" s="166"/>
      <c r="BF196" s="166"/>
      <c r="BG196" s="82">
        <v>0</v>
      </c>
      <c r="BH196" s="83"/>
      <c r="BI196" s="83"/>
      <c r="BJ196" s="83"/>
      <c r="BK196" s="84"/>
      <c r="BL196" s="166"/>
      <c r="BM196" s="166"/>
      <c r="BN196" s="82">
        <v>0</v>
      </c>
      <c r="BO196" s="83"/>
      <c r="BP196" s="83"/>
      <c r="BQ196" s="83"/>
      <c r="BR196" s="84"/>
      <c r="BS196" s="166"/>
      <c r="BT196" s="166"/>
      <c r="BU196" s="82">
        <v>0</v>
      </c>
      <c r="BV196" s="83"/>
      <c r="BW196" s="83"/>
      <c r="BX196" s="83"/>
      <c r="BY196" s="84"/>
      <c r="BZ196" s="166"/>
      <c r="CA196" s="166"/>
    </row>
    <row r="197" spans="1:85" customHeight="1" ht="13.5">
      <c r="A197" s="4"/>
      <c r="B197" s="126"/>
      <c r="C197" s="144"/>
      <c r="D197" s="144"/>
      <c r="E197" s="145"/>
      <c r="F197" s="167" t="s">
        <v>35</v>
      </c>
      <c r="G197" s="168"/>
      <c r="H197" s="168"/>
      <c r="I197" s="169"/>
      <c r="J197" s="82">
        <v>15</v>
      </c>
      <c r="K197" s="83"/>
      <c r="L197" s="83"/>
      <c r="M197" s="83"/>
      <c r="N197" s="84"/>
      <c r="O197" s="82"/>
      <c r="P197" s="84"/>
      <c r="Q197" s="82">
        <v>15</v>
      </c>
      <c r="R197" s="83"/>
      <c r="S197" s="83"/>
      <c r="T197" s="83"/>
      <c r="U197" s="84"/>
      <c r="V197" s="82"/>
      <c r="W197" s="84"/>
      <c r="X197" s="82">
        <v>25</v>
      </c>
      <c r="Y197" s="83"/>
      <c r="Z197" s="83"/>
      <c r="AA197" s="83"/>
      <c r="AB197" s="84"/>
      <c r="AC197" s="82"/>
      <c r="AD197" s="84"/>
      <c r="AE197" s="82">
        <v>19</v>
      </c>
      <c r="AF197" s="83"/>
      <c r="AG197" s="83"/>
      <c r="AH197" s="83"/>
      <c r="AI197" s="84"/>
      <c r="AJ197" s="82"/>
      <c r="AK197" s="84"/>
      <c r="AL197" s="82">
        <v>18</v>
      </c>
      <c r="AM197" s="83"/>
      <c r="AN197" s="83"/>
      <c r="AO197" s="83"/>
      <c r="AP197" s="84"/>
      <c r="AQ197" s="82"/>
      <c r="AR197" s="83"/>
      <c r="AS197" s="82">
        <v>0</v>
      </c>
      <c r="AT197" s="83"/>
      <c r="AU197" s="83"/>
      <c r="AV197" s="83"/>
      <c r="AW197" s="84"/>
      <c r="AX197" s="166"/>
      <c r="AY197" s="166"/>
      <c r="AZ197" s="82">
        <v>0</v>
      </c>
      <c r="BA197" s="83"/>
      <c r="BB197" s="83"/>
      <c r="BC197" s="83"/>
      <c r="BD197" s="84"/>
      <c r="BE197" s="166"/>
      <c r="BF197" s="166"/>
      <c r="BG197" s="82">
        <v>0</v>
      </c>
      <c r="BH197" s="83"/>
      <c r="BI197" s="83"/>
      <c r="BJ197" s="83"/>
      <c r="BK197" s="84"/>
      <c r="BL197" s="166"/>
      <c r="BM197" s="166"/>
      <c r="BN197" s="82">
        <v>0</v>
      </c>
      <c r="BO197" s="83"/>
      <c r="BP197" s="83"/>
      <c r="BQ197" s="83"/>
      <c r="BR197" s="84"/>
      <c r="BS197" s="166"/>
      <c r="BT197" s="166"/>
      <c r="BU197" s="82">
        <v>0</v>
      </c>
      <c r="BV197" s="83"/>
      <c r="BW197" s="83"/>
      <c r="BX197" s="83"/>
      <c r="BY197" s="84"/>
      <c r="BZ197" s="166"/>
      <c r="CA197" s="166"/>
    </row>
    <row r="198" spans="1:85" customHeight="1" ht="13.5">
      <c r="A198" s="4"/>
      <c r="B198" s="131"/>
      <c r="C198" s="146"/>
      <c r="D198" s="146"/>
      <c r="E198" s="147"/>
      <c r="F198" s="167" t="s">
        <v>36</v>
      </c>
      <c r="G198" s="168"/>
      <c r="H198" s="168"/>
      <c r="I198" s="169"/>
      <c r="J198" s="57">
        <f>SUM(J196:N197)</f>
        <v>36</v>
      </c>
      <c r="K198" s="83"/>
      <c r="L198" s="83"/>
      <c r="M198" s="83"/>
      <c r="N198" s="84"/>
      <c r="O198" s="57">
        <f>SUM(O196:P197)</f>
        <v>0</v>
      </c>
      <c r="P198" s="84"/>
      <c r="Q198" s="57">
        <f>SUM(Q196:U197)</f>
        <v>26</v>
      </c>
      <c r="R198" s="83"/>
      <c r="S198" s="83"/>
      <c r="T198" s="83"/>
      <c r="U198" s="84"/>
      <c r="V198" s="57">
        <f>SUM(V196:W197)</f>
        <v>0</v>
      </c>
      <c r="W198" s="84"/>
      <c r="X198" s="57">
        <f>SUM(X196:AB197)</f>
        <v>45</v>
      </c>
      <c r="Y198" s="83"/>
      <c r="Z198" s="83"/>
      <c r="AA198" s="83"/>
      <c r="AB198" s="84"/>
      <c r="AC198" s="57">
        <f>SUM(AC196:AD197)</f>
        <v>0</v>
      </c>
      <c r="AD198" s="84"/>
      <c r="AE198" s="57">
        <f>SUM(AE196:AI197)</f>
        <v>40</v>
      </c>
      <c r="AF198" s="83"/>
      <c r="AG198" s="83"/>
      <c r="AH198" s="83"/>
      <c r="AI198" s="84"/>
      <c r="AJ198" s="57">
        <f>SUM(AJ196:AK197)</f>
        <v>0</v>
      </c>
      <c r="AK198" s="84"/>
      <c r="AL198" s="57">
        <f>SUM(AL196:AP197)</f>
        <v>37</v>
      </c>
      <c r="AM198" s="83"/>
      <c r="AN198" s="83"/>
      <c r="AO198" s="83"/>
      <c r="AP198" s="84"/>
      <c r="AQ198" s="57">
        <f>SUM(AQ196:AR197)</f>
        <v>0</v>
      </c>
      <c r="AR198" s="83"/>
      <c r="AS198" s="166">
        <f>SUM(AS196:AW197)</f>
        <v>0</v>
      </c>
      <c r="AT198" s="166"/>
      <c r="AU198" s="166"/>
      <c r="AV198" s="166"/>
      <c r="AW198" s="166"/>
      <c r="AX198" s="166">
        <f>SUM(AX196:AY197)</f>
        <v>0</v>
      </c>
      <c r="AY198" s="166"/>
      <c r="AZ198" s="166">
        <f>SUM(AZ196:BD197)</f>
        <v>0</v>
      </c>
      <c r="BA198" s="166"/>
      <c r="BB198" s="166"/>
      <c r="BC198" s="166"/>
      <c r="BD198" s="166"/>
      <c r="BE198" s="166">
        <f>SUM(BE196:BF197)</f>
        <v>0</v>
      </c>
      <c r="BF198" s="166"/>
      <c r="BG198" s="166">
        <f>SUM(BG196:BK197)</f>
        <v>0</v>
      </c>
      <c r="BH198" s="166"/>
      <c r="BI198" s="166"/>
      <c r="BJ198" s="166"/>
      <c r="BK198" s="166"/>
      <c r="BL198" s="166">
        <f>SUM(BL196:BM197)</f>
        <v>0</v>
      </c>
      <c r="BM198" s="166"/>
      <c r="BN198" s="166">
        <f>SUM(BN196:BR197)</f>
        <v>0</v>
      </c>
      <c r="BO198" s="166"/>
      <c r="BP198" s="166"/>
      <c r="BQ198" s="166"/>
      <c r="BR198" s="166"/>
      <c r="BS198" s="166">
        <f>SUM(BS196:BT197)</f>
        <v>0</v>
      </c>
      <c r="BT198" s="166"/>
      <c r="BU198" s="166">
        <f>SUM(BU196:BY197)</f>
        <v>0</v>
      </c>
      <c r="BV198" s="166"/>
      <c r="BW198" s="166"/>
      <c r="BX198" s="166"/>
      <c r="BY198" s="166"/>
      <c r="BZ198" s="166">
        <f>SUM(BZ196:CA197)</f>
        <v>0</v>
      </c>
      <c r="CA198" s="166"/>
    </row>
    <row r="199" spans="1:85" customHeight="1" ht="13.5">
      <c r="A199" s="4"/>
      <c r="B199" s="134" t="s">
        <v>38</v>
      </c>
      <c r="C199" s="171"/>
      <c r="D199" s="171"/>
      <c r="E199" s="172"/>
      <c r="F199" s="128" t="s">
        <v>34</v>
      </c>
      <c r="G199" s="173"/>
      <c r="H199" s="173"/>
      <c r="I199" s="174"/>
      <c r="J199" s="82">
        <v>20</v>
      </c>
      <c r="K199" s="83"/>
      <c r="L199" s="83"/>
      <c r="M199" s="83"/>
      <c r="N199" s="84"/>
      <c r="O199" s="82"/>
      <c r="P199" s="84"/>
      <c r="Q199" s="82">
        <v>15</v>
      </c>
      <c r="R199" s="83"/>
      <c r="S199" s="83"/>
      <c r="T199" s="83"/>
      <c r="U199" s="84"/>
      <c r="V199" s="82"/>
      <c r="W199" s="84"/>
      <c r="X199" s="82">
        <v>0</v>
      </c>
      <c r="Y199" s="83"/>
      <c r="Z199" s="83"/>
      <c r="AA199" s="83"/>
      <c r="AB199" s="84"/>
      <c r="AC199" s="82"/>
      <c r="AD199" s="84"/>
      <c r="AE199" s="82">
        <v>0</v>
      </c>
      <c r="AF199" s="83"/>
      <c r="AG199" s="83"/>
      <c r="AH199" s="83"/>
      <c r="AI199" s="84"/>
      <c r="AJ199" s="82"/>
      <c r="AK199" s="84"/>
      <c r="AL199" s="82">
        <v>0</v>
      </c>
      <c r="AM199" s="83"/>
      <c r="AN199" s="83"/>
      <c r="AO199" s="83"/>
      <c r="AP199" s="84"/>
      <c r="AQ199" s="82"/>
      <c r="AR199" s="83"/>
      <c r="AS199" s="82">
        <v>0</v>
      </c>
      <c r="AT199" s="83"/>
      <c r="AU199" s="83"/>
      <c r="AV199" s="83"/>
      <c r="AW199" s="84"/>
      <c r="AX199" s="166"/>
      <c r="AY199" s="166"/>
      <c r="AZ199" s="82">
        <v>0</v>
      </c>
      <c r="BA199" s="83"/>
      <c r="BB199" s="83"/>
      <c r="BC199" s="83"/>
      <c r="BD199" s="84"/>
      <c r="BE199" s="166"/>
      <c r="BF199" s="166"/>
      <c r="BG199" s="82">
        <v>0</v>
      </c>
      <c r="BH199" s="83"/>
      <c r="BI199" s="83"/>
      <c r="BJ199" s="83"/>
      <c r="BK199" s="84"/>
      <c r="BL199" s="166"/>
      <c r="BM199" s="166"/>
      <c r="BN199" s="82">
        <v>0</v>
      </c>
      <c r="BO199" s="83"/>
      <c r="BP199" s="83"/>
      <c r="BQ199" s="83"/>
      <c r="BR199" s="84"/>
      <c r="BS199" s="166"/>
      <c r="BT199" s="166"/>
      <c r="BU199" s="82">
        <v>0</v>
      </c>
      <c r="BV199" s="83"/>
      <c r="BW199" s="83"/>
      <c r="BX199" s="83"/>
      <c r="BY199" s="84"/>
      <c r="BZ199" s="166"/>
      <c r="CA199" s="166"/>
    </row>
    <row r="200" spans="1:85" customHeight="1" ht="13.5">
      <c r="A200" s="4"/>
      <c r="B200" s="126"/>
      <c r="C200" s="144"/>
      <c r="D200" s="144"/>
      <c r="E200" s="145"/>
      <c r="F200" s="167" t="s">
        <v>35</v>
      </c>
      <c r="G200" s="168"/>
      <c r="H200" s="168"/>
      <c r="I200" s="169"/>
      <c r="J200" s="82">
        <v>29</v>
      </c>
      <c r="K200" s="83"/>
      <c r="L200" s="83"/>
      <c r="M200" s="83"/>
      <c r="N200" s="84"/>
      <c r="O200" s="82"/>
      <c r="P200" s="84"/>
      <c r="Q200" s="82">
        <v>22</v>
      </c>
      <c r="R200" s="83"/>
      <c r="S200" s="83"/>
      <c r="T200" s="83"/>
      <c r="U200" s="84"/>
      <c r="V200" s="82"/>
      <c r="W200" s="84"/>
      <c r="X200" s="82">
        <v>0</v>
      </c>
      <c r="Y200" s="83"/>
      <c r="Z200" s="83"/>
      <c r="AA200" s="83"/>
      <c r="AB200" s="84"/>
      <c r="AC200" s="82"/>
      <c r="AD200" s="84"/>
      <c r="AE200" s="82">
        <v>0</v>
      </c>
      <c r="AF200" s="83"/>
      <c r="AG200" s="83"/>
      <c r="AH200" s="83"/>
      <c r="AI200" s="84"/>
      <c r="AJ200" s="82"/>
      <c r="AK200" s="84"/>
      <c r="AL200" s="82">
        <v>0</v>
      </c>
      <c r="AM200" s="83"/>
      <c r="AN200" s="83"/>
      <c r="AO200" s="83"/>
      <c r="AP200" s="84"/>
      <c r="AQ200" s="82"/>
      <c r="AR200" s="83"/>
      <c r="AS200" s="82">
        <v>0</v>
      </c>
      <c r="AT200" s="83"/>
      <c r="AU200" s="83"/>
      <c r="AV200" s="83"/>
      <c r="AW200" s="84"/>
      <c r="AX200" s="166"/>
      <c r="AY200" s="166"/>
      <c r="AZ200" s="82">
        <v>0</v>
      </c>
      <c r="BA200" s="83"/>
      <c r="BB200" s="83"/>
      <c r="BC200" s="83"/>
      <c r="BD200" s="84"/>
      <c r="BE200" s="166"/>
      <c r="BF200" s="166"/>
      <c r="BG200" s="82">
        <v>0</v>
      </c>
      <c r="BH200" s="83"/>
      <c r="BI200" s="83"/>
      <c r="BJ200" s="83"/>
      <c r="BK200" s="84"/>
      <c r="BL200" s="166"/>
      <c r="BM200" s="166"/>
      <c r="BN200" s="82">
        <v>0</v>
      </c>
      <c r="BO200" s="83"/>
      <c r="BP200" s="83"/>
      <c r="BQ200" s="83"/>
      <c r="BR200" s="84"/>
      <c r="BS200" s="166"/>
      <c r="BT200" s="166"/>
      <c r="BU200" s="82">
        <v>0</v>
      </c>
      <c r="BV200" s="83"/>
      <c r="BW200" s="83"/>
      <c r="BX200" s="83"/>
      <c r="BY200" s="84"/>
      <c r="BZ200" s="166"/>
      <c r="CA200" s="166"/>
    </row>
    <row r="201" spans="1:85" customHeight="1" ht="13.5">
      <c r="A201" s="4"/>
      <c r="B201" s="131"/>
      <c r="C201" s="146"/>
      <c r="D201" s="146"/>
      <c r="E201" s="147"/>
      <c r="F201" s="167" t="s">
        <v>36</v>
      </c>
      <c r="G201" s="168"/>
      <c r="H201" s="168"/>
      <c r="I201" s="169"/>
      <c r="J201" s="57">
        <f>SUM(J199:N200)</f>
        <v>49</v>
      </c>
      <c r="K201" s="83"/>
      <c r="L201" s="83"/>
      <c r="M201" s="83"/>
      <c r="N201" s="84"/>
      <c r="O201" s="57">
        <f>SUM(O199:P200)</f>
        <v>0</v>
      </c>
      <c r="P201" s="84"/>
      <c r="Q201" s="57">
        <f>SUM(Q199:U200)</f>
        <v>37</v>
      </c>
      <c r="R201" s="83"/>
      <c r="S201" s="83"/>
      <c r="T201" s="83"/>
      <c r="U201" s="84"/>
      <c r="V201" s="57">
        <f>SUM(V199:W200)</f>
        <v>0</v>
      </c>
      <c r="W201" s="84"/>
      <c r="X201" s="57">
        <f>SUM(X199:AB200)</f>
        <v>0</v>
      </c>
      <c r="Y201" s="83"/>
      <c r="Z201" s="83"/>
      <c r="AA201" s="83"/>
      <c r="AB201" s="84"/>
      <c r="AC201" s="57">
        <f>SUM(AC199:AD200)</f>
        <v>0</v>
      </c>
      <c r="AD201" s="84"/>
      <c r="AE201" s="57">
        <f>SUM(AE199:AI200)</f>
        <v>0</v>
      </c>
      <c r="AF201" s="83"/>
      <c r="AG201" s="83"/>
      <c r="AH201" s="83"/>
      <c r="AI201" s="84"/>
      <c r="AJ201" s="57">
        <f>SUM(AJ199:AK200)</f>
        <v>0</v>
      </c>
      <c r="AK201" s="84"/>
      <c r="AL201" s="57">
        <f>SUM(AL199:AP200)</f>
        <v>0</v>
      </c>
      <c r="AM201" s="83"/>
      <c r="AN201" s="83"/>
      <c r="AO201" s="83"/>
      <c r="AP201" s="84"/>
      <c r="AQ201" s="57">
        <f>SUM(AQ199:AR200)</f>
        <v>0</v>
      </c>
      <c r="AR201" s="83"/>
      <c r="AS201" s="166">
        <f>SUM(AS199:AW200)</f>
        <v>0</v>
      </c>
      <c r="AT201" s="166"/>
      <c r="AU201" s="166"/>
      <c r="AV201" s="166"/>
      <c r="AW201" s="166"/>
      <c r="AX201" s="166">
        <f>SUM(AX199:AY200)</f>
        <v>0</v>
      </c>
      <c r="AY201" s="166"/>
      <c r="AZ201" s="166">
        <f>SUM(AZ199:BD200)</f>
        <v>0</v>
      </c>
      <c r="BA201" s="166"/>
      <c r="BB201" s="166"/>
      <c r="BC201" s="166"/>
      <c r="BD201" s="166"/>
      <c r="BE201" s="166">
        <f>SUM(BE199:BF200)</f>
        <v>0</v>
      </c>
      <c r="BF201" s="166"/>
      <c r="BG201" s="166">
        <f>SUM(BG199:BK200)</f>
        <v>0</v>
      </c>
      <c r="BH201" s="166"/>
      <c r="BI201" s="166"/>
      <c r="BJ201" s="166"/>
      <c r="BK201" s="166"/>
      <c r="BL201" s="166">
        <f>SUM(BL199:BM200)</f>
        <v>0</v>
      </c>
      <c r="BM201" s="166"/>
      <c r="BN201" s="166">
        <f>SUM(BN199:BR200)</f>
        <v>0</v>
      </c>
      <c r="BO201" s="166"/>
      <c r="BP201" s="166"/>
      <c r="BQ201" s="166"/>
      <c r="BR201" s="166"/>
      <c r="BS201" s="166">
        <f>SUM(BS199:BT200)</f>
        <v>0</v>
      </c>
      <c r="BT201" s="166"/>
      <c r="BU201" s="166">
        <f>SUM(BU199:BY200)</f>
        <v>0</v>
      </c>
      <c r="BV201" s="166"/>
      <c r="BW201" s="166"/>
      <c r="BX201" s="166"/>
      <c r="BY201" s="166"/>
      <c r="BZ201" s="166">
        <f>SUM(BZ199:CA200)</f>
        <v>0</v>
      </c>
      <c r="CA201" s="166"/>
    </row>
    <row r="202" spans="1:85" customHeight="1" ht="13.5">
      <c r="A202" s="4"/>
      <c r="B202" s="134" t="s">
        <v>39</v>
      </c>
      <c r="C202" s="171"/>
      <c r="D202" s="171"/>
      <c r="E202" s="172"/>
      <c r="F202" s="128" t="s">
        <v>34</v>
      </c>
      <c r="G202" s="173"/>
      <c r="H202" s="173"/>
      <c r="I202" s="174"/>
      <c r="J202" s="82">
        <v>0</v>
      </c>
      <c r="K202" s="83"/>
      <c r="L202" s="83"/>
      <c r="M202" s="83"/>
      <c r="N202" s="84"/>
      <c r="O202" s="82"/>
      <c r="P202" s="84"/>
      <c r="Q202" s="82">
        <v>1</v>
      </c>
      <c r="R202" s="83"/>
      <c r="S202" s="83"/>
      <c r="T202" s="83"/>
      <c r="U202" s="84"/>
      <c r="V202" s="82"/>
      <c r="W202" s="84"/>
      <c r="X202" s="82">
        <v>0</v>
      </c>
      <c r="Y202" s="83"/>
      <c r="Z202" s="83"/>
      <c r="AA202" s="83"/>
      <c r="AB202" s="84"/>
      <c r="AC202" s="82"/>
      <c r="AD202" s="84"/>
      <c r="AE202" s="82">
        <v>0</v>
      </c>
      <c r="AF202" s="83"/>
      <c r="AG202" s="83"/>
      <c r="AH202" s="83"/>
      <c r="AI202" s="84"/>
      <c r="AJ202" s="82"/>
      <c r="AK202" s="84"/>
      <c r="AL202" s="82">
        <v>0</v>
      </c>
      <c r="AM202" s="83"/>
      <c r="AN202" s="83"/>
      <c r="AO202" s="83"/>
      <c r="AP202" s="84"/>
      <c r="AQ202" s="82"/>
      <c r="AR202" s="83"/>
      <c r="AS202" s="82">
        <v>0</v>
      </c>
      <c r="AT202" s="83"/>
      <c r="AU202" s="83"/>
      <c r="AV202" s="83"/>
      <c r="AW202" s="84"/>
      <c r="AX202" s="166"/>
      <c r="AY202" s="166"/>
      <c r="AZ202" s="82">
        <v>0</v>
      </c>
      <c r="BA202" s="83"/>
      <c r="BB202" s="83"/>
      <c r="BC202" s="83"/>
      <c r="BD202" s="84"/>
      <c r="BE202" s="166"/>
      <c r="BF202" s="166"/>
      <c r="BG202" s="82">
        <v>0</v>
      </c>
      <c r="BH202" s="83"/>
      <c r="BI202" s="83"/>
      <c r="BJ202" s="83"/>
      <c r="BK202" s="84"/>
      <c r="BL202" s="166"/>
      <c r="BM202" s="166"/>
      <c r="BN202" s="82">
        <v>0</v>
      </c>
      <c r="BO202" s="83"/>
      <c r="BP202" s="83"/>
      <c r="BQ202" s="83"/>
      <c r="BR202" s="84"/>
      <c r="BS202" s="166"/>
      <c r="BT202" s="166"/>
      <c r="BU202" s="82">
        <v>0</v>
      </c>
      <c r="BV202" s="83"/>
      <c r="BW202" s="83"/>
      <c r="BX202" s="83"/>
      <c r="BY202" s="84"/>
      <c r="BZ202" s="166"/>
      <c r="CA202" s="166"/>
    </row>
    <row r="203" spans="1:85" customHeight="1" ht="13.5">
      <c r="A203" s="4"/>
      <c r="B203" s="126"/>
      <c r="C203" s="144"/>
      <c r="D203" s="144"/>
      <c r="E203" s="145"/>
      <c r="F203" s="167" t="s">
        <v>35</v>
      </c>
      <c r="G203" s="168"/>
      <c r="H203" s="168"/>
      <c r="I203" s="169"/>
      <c r="J203" s="82">
        <v>1</v>
      </c>
      <c r="K203" s="83"/>
      <c r="L203" s="83"/>
      <c r="M203" s="83"/>
      <c r="N203" s="84"/>
      <c r="O203" s="82"/>
      <c r="P203" s="84"/>
      <c r="Q203" s="82">
        <v>2</v>
      </c>
      <c r="R203" s="83"/>
      <c r="S203" s="83"/>
      <c r="T203" s="83"/>
      <c r="U203" s="84"/>
      <c r="V203" s="82"/>
      <c r="W203" s="84"/>
      <c r="X203" s="82">
        <v>0</v>
      </c>
      <c r="Y203" s="83"/>
      <c r="Z203" s="83"/>
      <c r="AA203" s="83"/>
      <c r="AB203" s="84"/>
      <c r="AC203" s="82"/>
      <c r="AD203" s="84"/>
      <c r="AE203" s="82">
        <v>0</v>
      </c>
      <c r="AF203" s="83"/>
      <c r="AG203" s="83"/>
      <c r="AH203" s="83"/>
      <c r="AI203" s="84"/>
      <c r="AJ203" s="82"/>
      <c r="AK203" s="84"/>
      <c r="AL203" s="82">
        <v>0</v>
      </c>
      <c r="AM203" s="83"/>
      <c r="AN203" s="83"/>
      <c r="AO203" s="83"/>
      <c r="AP203" s="84"/>
      <c r="AQ203" s="82"/>
      <c r="AR203" s="83"/>
      <c r="AS203" s="82">
        <v>0</v>
      </c>
      <c r="AT203" s="83"/>
      <c r="AU203" s="83"/>
      <c r="AV203" s="83"/>
      <c r="AW203" s="84"/>
      <c r="AX203" s="166"/>
      <c r="AY203" s="166"/>
      <c r="AZ203" s="82">
        <v>0</v>
      </c>
      <c r="BA203" s="83"/>
      <c r="BB203" s="83"/>
      <c r="BC203" s="83"/>
      <c r="BD203" s="84"/>
      <c r="BE203" s="166"/>
      <c r="BF203" s="166"/>
      <c r="BG203" s="82">
        <v>0</v>
      </c>
      <c r="BH203" s="83"/>
      <c r="BI203" s="83"/>
      <c r="BJ203" s="83"/>
      <c r="BK203" s="84"/>
      <c r="BL203" s="166"/>
      <c r="BM203" s="166"/>
      <c r="BN203" s="82">
        <v>0</v>
      </c>
      <c r="BO203" s="83"/>
      <c r="BP203" s="83"/>
      <c r="BQ203" s="83"/>
      <c r="BR203" s="84"/>
      <c r="BS203" s="166"/>
      <c r="BT203" s="166"/>
      <c r="BU203" s="82">
        <v>0</v>
      </c>
      <c r="BV203" s="83"/>
      <c r="BW203" s="83"/>
      <c r="BX203" s="83"/>
      <c r="BY203" s="84"/>
      <c r="BZ203" s="166"/>
      <c r="CA203" s="166"/>
    </row>
    <row r="204" spans="1:85" customHeight="1" ht="13.5">
      <c r="A204" s="4"/>
      <c r="B204" s="131"/>
      <c r="C204" s="146"/>
      <c r="D204" s="146"/>
      <c r="E204" s="147"/>
      <c r="F204" s="167" t="s">
        <v>36</v>
      </c>
      <c r="G204" s="168"/>
      <c r="H204" s="168"/>
      <c r="I204" s="169"/>
      <c r="J204" s="57">
        <f>SUM(J202:N203)</f>
        <v>1</v>
      </c>
      <c r="K204" s="83"/>
      <c r="L204" s="83"/>
      <c r="M204" s="83"/>
      <c r="N204" s="84"/>
      <c r="O204" s="57">
        <f>SUM(O202:P203)</f>
        <v>0</v>
      </c>
      <c r="P204" s="84"/>
      <c r="Q204" s="57">
        <f>SUM(Q202:U203)</f>
        <v>3</v>
      </c>
      <c r="R204" s="83"/>
      <c r="S204" s="83"/>
      <c r="T204" s="83"/>
      <c r="U204" s="84"/>
      <c r="V204" s="57">
        <f>SUM(V202:W203)</f>
        <v>0</v>
      </c>
      <c r="W204" s="84"/>
      <c r="X204" s="57">
        <f>SUM(X202:AB203)</f>
        <v>0</v>
      </c>
      <c r="Y204" s="83"/>
      <c r="Z204" s="83"/>
      <c r="AA204" s="83"/>
      <c r="AB204" s="84"/>
      <c r="AC204" s="57">
        <f>SUM(AC202:AD203)</f>
        <v>0</v>
      </c>
      <c r="AD204" s="84"/>
      <c r="AE204" s="57">
        <f>SUM(AE202:AI203)</f>
        <v>0</v>
      </c>
      <c r="AF204" s="83"/>
      <c r="AG204" s="83"/>
      <c r="AH204" s="83"/>
      <c r="AI204" s="84"/>
      <c r="AJ204" s="57">
        <f>SUM(AJ202:AK203)</f>
        <v>0</v>
      </c>
      <c r="AK204" s="84"/>
      <c r="AL204" s="57">
        <f>SUM(AL202:AP203)</f>
        <v>0</v>
      </c>
      <c r="AM204" s="83"/>
      <c r="AN204" s="83"/>
      <c r="AO204" s="83"/>
      <c r="AP204" s="84"/>
      <c r="AQ204" s="57">
        <f>SUM(AQ202:AR203)</f>
        <v>0</v>
      </c>
      <c r="AR204" s="83"/>
      <c r="AS204" s="166">
        <f>SUM(AS202:AW203)</f>
        <v>0</v>
      </c>
      <c r="AT204" s="166"/>
      <c r="AU204" s="166"/>
      <c r="AV204" s="166"/>
      <c r="AW204" s="166"/>
      <c r="AX204" s="166">
        <f>SUM(AX202:AY203)</f>
        <v>0</v>
      </c>
      <c r="AY204" s="166"/>
      <c r="AZ204" s="166">
        <f>SUM(AZ202:BD203)</f>
        <v>0</v>
      </c>
      <c r="BA204" s="166"/>
      <c r="BB204" s="166"/>
      <c r="BC204" s="166"/>
      <c r="BD204" s="166"/>
      <c r="BE204" s="166">
        <f>SUM(BE202:BF203)</f>
        <v>0</v>
      </c>
      <c r="BF204" s="166"/>
      <c r="BG204" s="166">
        <f>SUM(BG202:BK203)</f>
        <v>0</v>
      </c>
      <c r="BH204" s="166"/>
      <c r="BI204" s="166"/>
      <c r="BJ204" s="166"/>
      <c r="BK204" s="166"/>
      <c r="BL204" s="166">
        <f>SUM(BL202:BM203)</f>
        <v>0</v>
      </c>
      <c r="BM204" s="166"/>
      <c r="BN204" s="166">
        <f>SUM(BN202:BR203)</f>
        <v>0</v>
      </c>
      <c r="BO204" s="166"/>
      <c r="BP204" s="166"/>
      <c r="BQ204" s="166"/>
      <c r="BR204" s="166"/>
      <c r="BS204" s="166">
        <f>SUM(BS202:BT203)</f>
        <v>0</v>
      </c>
      <c r="BT204" s="166"/>
      <c r="BU204" s="166">
        <f>SUM(BU202:BY203)</f>
        <v>0</v>
      </c>
      <c r="BV204" s="166"/>
      <c r="BW204" s="166"/>
      <c r="BX204" s="166"/>
      <c r="BY204" s="166"/>
      <c r="BZ204" s="166">
        <f>SUM(BZ202:CA203)</f>
        <v>0</v>
      </c>
      <c r="CA204" s="166"/>
    </row>
    <row r="205" spans="1:85" customHeight="1" ht="13.5">
      <c r="A205" s="4"/>
      <c r="B205" s="134" t="s">
        <v>40</v>
      </c>
      <c r="C205" s="171"/>
      <c r="D205" s="171"/>
      <c r="E205" s="172"/>
      <c r="F205" s="128" t="s">
        <v>34</v>
      </c>
      <c r="G205" s="173"/>
      <c r="H205" s="173"/>
      <c r="I205" s="174"/>
      <c r="J205" s="82">
        <v>0</v>
      </c>
      <c r="K205" s="83"/>
      <c r="L205" s="83"/>
      <c r="M205" s="83"/>
      <c r="N205" s="84"/>
      <c r="O205" s="82"/>
      <c r="P205" s="84"/>
      <c r="Q205" s="82">
        <v>0</v>
      </c>
      <c r="R205" s="83"/>
      <c r="S205" s="83"/>
      <c r="T205" s="83"/>
      <c r="U205" s="84"/>
      <c r="V205" s="82"/>
      <c r="W205" s="84"/>
      <c r="X205" s="82">
        <v>0</v>
      </c>
      <c r="Y205" s="83"/>
      <c r="Z205" s="83"/>
      <c r="AA205" s="83"/>
      <c r="AB205" s="84"/>
      <c r="AC205" s="82"/>
      <c r="AD205" s="84"/>
      <c r="AE205" s="82">
        <v>0</v>
      </c>
      <c r="AF205" s="83"/>
      <c r="AG205" s="83"/>
      <c r="AH205" s="83"/>
      <c r="AI205" s="84"/>
      <c r="AJ205" s="82"/>
      <c r="AK205" s="84"/>
      <c r="AL205" s="82">
        <v>0</v>
      </c>
      <c r="AM205" s="83"/>
      <c r="AN205" s="83"/>
      <c r="AO205" s="83"/>
      <c r="AP205" s="84"/>
      <c r="AQ205" s="82"/>
      <c r="AR205" s="83"/>
      <c r="AS205" s="82">
        <v>0</v>
      </c>
      <c r="AT205" s="83"/>
      <c r="AU205" s="83"/>
      <c r="AV205" s="83"/>
      <c r="AW205" s="84"/>
      <c r="AX205" s="166"/>
      <c r="AY205" s="166"/>
      <c r="AZ205" s="82">
        <v>0</v>
      </c>
      <c r="BA205" s="83"/>
      <c r="BB205" s="83"/>
      <c r="BC205" s="83"/>
      <c r="BD205" s="84"/>
      <c r="BE205" s="166"/>
      <c r="BF205" s="166"/>
      <c r="BG205" s="82">
        <v>0</v>
      </c>
      <c r="BH205" s="83"/>
      <c r="BI205" s="83"/>
      <c r="BJ205" s="83"/>
      <c r="BK205" s="84"/>
      <c r="BL205" s="166"/>
      <c r="BM205" s="166"/>
      <c r="BN205" s="82">
        <v>0</v>
      </c>
      <c r="BO205" s="83"/>
      <c r="BP205" s="83"/>
      <c r="BQ205" s="83"/>
      <c r="BR205" s="84"/>
      <c r="BS205" s="166"/>
      <c r="BT205" s="166"/>
      <c r="BU205" s="82">
        <v>0</v>
      </c>
      <c r="BV205" s="83"/>
      <c r="BW205" s="83"/>
      <c r="BX205" s="83"/>
      <c r="BY205" s="84"/>
      <c r="BZ205" s="166"/>
      <c r="CA205" s="166"/>
    </row>
    <row r="206" spans="1:85" customHeight="1" ht="13.5">
      <c r="A206" s="4"/>
      <c r="B206" s="126"/>
      <c r="C206" s="144"/>
      <c r="D206" s="144"/>
      <c r="E206" s="145"/>
      <c r="F206" s="167" t="s">
        <v>35</v>
      </c>
      <c r="G206" s="168"/>
      <c r="H206" s="168"/>
      <c r="I206" s="169"/>
      <c r="J206" s="82">
        <v>0</v>
      </c>
      <c r="K206" s="83"/>
      <c r="L206" s="83"/>
      <c r="M206" s="83"/>
      <c r="N206" s="84"/>
      <c r="O206" s="82"/>
      <c r="P206" s="84"/>
      <c r="Q206" s="82">
        <v>0</v>
      </c>
      <c r="R206" s="83"/>
      <c r="S206" s="83"/>
      <c r="T206" s="83"/>
      <c r="U206" s="84"/>
      <c r="V206" s="82"/>
      <c r="W206" s="84"/>
      <c r="X206" s="82">
        <v>0</v>
      </c>
      <c r="Y206" s="83"/>
      <c r="Z206" s="83"/>
      <c r="AA206" s="83"/>
      <c r="AB206" s="84"/>
      <c r="AC206" s="82"/>
      <c r="AD206" s="84"/>
      <c r="AE206" s="82">
        <v>0</v>
      </c>
      <c r="AF206" s="83"/>
      <c r="AG206" s="83"/>
      <c r="AH206" s="83"/>
      <c r="AI206" s="84"/>
      <c r="AJ206" s="82"/>
      <c r="AK206" s="84"/>
      <c r="AL206" s="82">
        <v>0</v>
      </c>
      <c r="AM206" s="83"/>
      <c r="AN206" s="83"/>
      <c r="AO206" s="83"/>
      <c r="AP206" s="84"/>
      <c r="AQ206" s="82"/>
      <c r="AR206" s="83"/>
      <c r="AS206" s="82">
        <v>0</v>
      </c>
      <c r="AT206" s="83"/>
      <c r="AU206" s="83"/>
      <c r="AV206" s="83"/>
      <c r="AW206" s="84"/>
      <c r="AX206" s="166"/>
      <c r="AY206" s="166"/>
      <c r="AZ206" s="82">
        <v>0</v>
      </c>
      <c r="BA206" s="83"/>
      <c r="BB206" s="83"/>
      <c r="BC206" s="83"/>
      <c r="BD206" s="84"/>
      <c r="BE206" s="166"/>
      <c r="BF206" s="166"/>
      <c r="BG206" s="82">
        <v>0</v>
      </c>
      <c r="BH206" s="83"/>
      <c r="BI206" s="83"/>
      <c r="BJ206" s="83"/>
      <c r="BK206" s="84"/>
      <c r="BL206" s="166"/>
      <c r="BM206" s="166"/>
      <c r="BN206" s="82">
        <v>0</v>
      </c>
      <c r="BO206" s="83"/>
      <c r="BP206" s="83"/>
      <c r="BQ206" s="83"/>
      <c r="BR206" s="84"/>
      <c r="BS206" s="166"/>
      <c r="BT206" s="166"/>
      <c r="BU206" s="82">
        <v>0</v>
      </c>
      <c r="BV206" s="83"/>
      <c r="BW206" s="83"/>
      <c r="BX206" s="83"/>
      <c r="BY206" s="84"/>
      <c r="BZ206" s="166"/>
      <c r="CA206" s="166"/>
    </row>
    <row r="207" spans="1:85" customHeight="1" ht="13.5">
      <c r="A207" s="4"/>
      <c r="B207" s="131"/>
      <c r="C207" s="146"/>
      <c r="D207" s="146"/>
      <c r="E207" s="147"/>
      <c r="F207" s="167" t="s">
        <v>36</v>
      </c>
      <c r="G207" s="168"/>
      <c r="H207" s="168"/>
      <c r="I207" s="169"/>
      <c r="J207" s="57">
        <f>SUM(J205:N206)</f>
        <v>0</v>
      </c>
      <c r="K207" s="83"/>
      <c r="L207" s="83"/>
      <c r="M207" s="83"/>
      <c r="N207" s="84"/>
      <c r="O207" s="57">
        <f>SUM(O205:P206)</f>
        <v>0</v>
      </c>
      <c r="P207" s="84"/>
      <c r="Q207" s="57">
        <f>SUM(Q205:U206)</f>
        <v>0</v>
      </c>
      <c r="R207" s="83"/>
      <c r="S207" s="83"/>
      <c r="T207" s="83"/>
      <c r="U207" s="84"/>
      <c r="V207" s="57">
        <f>SUM(V205:W206)</f>
        <v>0</v>
      </c>
      <c r="W207" s="84"/>
      <c r="X207" s="57">
        <f>SUM(X205:AB206)</f>
        <v>0</v>
      </c>
      <c r="Y207" s="83"/>
      <c r="Z207" s="83"/>
      <c r="AA207" s="83"/>
      <c r="AB207" s="84"/>
      <c r="AC207" s="57">
        <f>SUM(AC205:AD206)</f>
        <v>0</v>
      </c>
      <c r="AD207" s="84"/>
      <c r="AE207" s="57">
        <f>SUM(AE205:AI206)</f>
        <v>0</v>
      </c>
      <c r="AF207" s="83"/>
      <c r="AG207" s="83"/>
      <c r="AH207" s="83"/>
      <c r="AI207" s="84"/>
      <c r="AJ207" s="57">
        <f>SUM(AJ205:AK206)</f>
        <v>0</v>
      </c>
      <c r="AK207" s="84"/>
      <c r="AL207" s="57">
        <f>SUM(AL205:AP206)</f>
        <v>0</v>
      </c>
      <c r="AM207" s="83"/>
      <c r="AN207" s="83"/>
      <c r="AO207" s="83"/>
      <c r="AP207" s="84"/>
      <c r="AQ207" s="57">
        <f>SUM(AQ205:AR206)</f>
        <v>0</v>
      </c>
      <c r="AR207" s="83"/>
      <c r="AS207" s="166">
        <f>SUM(AS205:AW206)</f>
        <v>0</v>
      </c>
      <c r="AT207" s="166"/>
      <c r="AU207" s="166"/>
      <c r="AV207" s="166"/>
      <c r="AW207" s="166"/>
      <c r="AX207" s="166">
        <f>SUM(AX205:AY206)</f>
        <v>0</v>
      </c>
      <c r="AY207" s="166"/>
      <c r="AZ207" s="166">
        <f>SUM(AZ205:BD206)</f>
        <v>0</v>
      </c>
      <c r="BA207" s="166"/>
      <c r="BB207" s="166"/>
      <c r="BC207" s="166"/>
      <c r="BD207" s="166"/>
      <c r="BE207" s="166">
        <f>SUM(BE205:BF206)</f>
        <v>0</v>
      </c>
      <c r="BF207" s="166"/>
      <c r="BG207" s="166">
        <f>SUM(BG205:BK206)</f>
        <v>0</v>
      </c>
      <c r="BH207" s="166"/>
      <c r="BI207" s="166"/>
      <c r="BJ207" s="166"/>
      <c r="BK207" s="166"/>
      <c r="BL207" s="166">
        <f>SUM(BL205:BM206)</f>
        <v>0</v>
      </c>
      <c r="BM207" s="166"/>
      <c r="BN207" s="166">
        <f>SUM(BN205:BR206)</f>
        <v>0</v>
      </c>
      <c r="BO207" s="166"/>
      <c r="BP207" s="166"/>
      <c r="BQ207" s="166"/>
      <c r="BR207" s="166"/>
      <c r="BS207" s="166">
        <f>SUM(BS205:BT206)</f>
        <v>0</v>
      </c>
      <c r="BT207" s="166"/>
      <c r="BU207" s="166">
        <f>SUM(BU205:BY206)</f>
        <v>0</v>
      </c>
      <c r="BV207" s="166"/>
      <c r="BW207" s="166"/>
      <c r="BX207" s="166"/>
      <c r="BY207" s="166"/>
      <c r="BZ207" s="166">
        <f>SUM(BZ205:CA206)</f>
        <v>0</v>
      </c>
      <c r="CA207" s="166"/>
    </row>
    <row r="208" spans="1:85" customHeight="1" ht="13.5">
      <c r="A208" s="4"/>
      <c r="B208" s="134" t="s">
        <v>41</v>
      </c>
      <c r="C208" s="171"/>
      <c r="D208" s="171"/>
      <c r="E208" s="172"/>
      <c r="F208" s="128" t="s">
        <v>34</v>
      </c>
      <c r="G208" s="173"/>
      <c r="H208" s="173"/>
      <c r="I208" s="174"/>
      <c r="J208" s="82">
        <v>0</v>
      </c>
      <c r="K208" s="83"/>
      <c r="L208" s="83"/>
      <c r="M208" s="83"/>
      <c r="N208" s="84"/>
      <c r="O208" s="82"/>
      <c r="P208" s="84"/>
      <c r="Q208" s="82">
        <v>0</v>
      </c>
      <c r="R208" s="83"/>
      <c r="S208" s="83"/>
      <c r="T208" s="83"/>
      <c r="U208" s="84"/>
      <c r="V208" s="82"/>
      <c r="W208" s="84"/>
      <c r="X208" s="82">
        <v>0</v>
      </c>
      <c r="Y208" s="83"/>
      <c r="Z208" s="83"/>
      <c r="AA208" s="83"/>
      <c r="AB208" s="84"/>
      <c r="AC208" s="82"/>
      <c r="AD208" s="84"/>
      <c r="AE208" s="82">
        <v>0</v>
      </c>
      <c r="AF208" s="83"/>
      <c r="AG208" s="83"/>
      <c r="AH208" s="83"/>
      <c r="AI208" s="84"/>
      <c r="AJ208" s="82"/>
      <c r="AK208" s="84"/>
      <c r="AL208" s="82">
        <v>0</v>
      </c>
      <c r="AM208" s="83"/>
      <c r="AN208" s="83"/>
      <c r="AO208" s="83"/>
      <c r="AP208" s="84"/>
      <c r="AQ208" s="82"/>
      <c r="AR208" s="83"/>
      <c r="AS208" s="82">
        <v>0</v>
      </c>
      <c r="AT208" s="83"/>
      <c r="AU208" s="83"/>
      <c r="AV208" s="83"/>
      <c r="AW208" s="84"/>
      <c r="AX208" s="166"/>
      <c r="AY208" s="166"/>
      <c r="AZ208" s="82">
        <v>0</v>
      </c>
      <c r="BA208" s="83"/>
      <c r="BB208" s="83"/>
      <c r="BC208" s="83"/>
      <c r="BD208" s="84"/>
      <c r="BE208" s="166"/>
      <c r="BF208" s="166"/>
      <c r="BG208" s="82">
        <v>0</v>
      </c>
      <c r="BH208" s="83"/>
      <c r="BI208" s="83"/>
      <c r="BJ208" s="83"/>
      <c r="BK208" s="84"/>
      <c r="BL208" s="166"/>
      <c r="BM208" s="166"/>
      <c r="BN208" s="82">
        <v>0</v>
      </c>
      <c r="BO208" s="83"/>
      <c r="BP208" s="83"/>
      <c r="BQ208" s="83"/>
      <c r="BR208" s="84"/>
      <c r="BS208" s="166"/>
      <c r="BT208" s="166"/>
      <c r="BU208" s="82">
        <v>0</v>
      </c>
      <c r="BV208" s="83"/>
      <c r="BW208" s="83"/>
      <c r="BX208" s="83"/>
      <c r="BY208" s="84"/>
      <c r="BZ208" s="166"/>
      <c r="CA208" s="166"/>
    </row>
    <row r="209" spans="1:85" customHeight="1" ht="13.5">
      <c r="A209" s="4"/>
      <c r="B209" s="126"/>
      <c r="C209" s="144"/>
      <c r="D209" s="144"/>
      <c r="E209" s="145"/>
      <c r="F209" s="167" t="s">
        <v>35</v>
      </c>
      <c r="G209" s="168"/>
      <c r="H209" s="168"/>
      <c r="I209" s="169"/>
      <c r="J209" s="82">
        <v>0</v>
      </c>
      <c r="K209" s="83"/>
      <c r="L209" s="83"/>
      <c r="M209" s="83"/>
      <c r="N209" s="84"/>
      <c r="O209" s="82"/>
      <c r="P209" s="84"/>
      <c r="Q209" s="82">
        <v>0</v>
      </c>
      <c r="R209" s="83"/>
      <c r="S209" s="83"/>
      <c r="T209" s="83"/>
      <c r="U209" s="84"/>
      <c r="V209" s="82"/>
      <c r="W209" s="84"/>
      <c r="X209" s="82">
        <v>0</v>
      </c>
      <c r="Y209" s="83"/>
      <c r="Z209" s="83"/>
      <c r="AA209" s="83"/>
      <c r="AB209" s="84"/>
      <c r="AC209" s="82"/>
      <c r="AD209" s="84"/>
      <c r="AE209" s="82">
        <v>0</v>
      </c>
      <c r="AF209" s="83"/>
      <c r="AG209" s="83"/>
      <c r="AH209" s="83"/>
      <c r="AI209" s="84"/>
      <c r="AJ209" s="82"/>
      <c r="AK209" s="84"/>
      <c r="AL209" s="82">
        <v>0</v>
      </c>
      <c r="AM209" s="83"/>
      <c r="AN209" s="83"/>
      <c r="AO209" s="83"/>
      <c r="AP209" s="84"/>
      <c r="AQ209" s="82"/>
      <c r="AR209" s="83"/>
      <c r="AS209" s="82">
        <v>0</v>
      </c>
      <c r="AT209" s="83"/>
      <c r="AU209" s="83"/>
      <c r="AV209" s="83"/>
      <c r="AW209" s="84"/>
      <c r="AX209" s="166"/>
      <c r="AY209" s="166"/>
      <c r="AZ209" s="82">
        <v>0</v>
      </c>
      <c r="BA209" s="83"/>
      <c r="BB209" s="83"/>
      <c r="BC209" s="83"/>
      <c r="BD209" s="84"/>
      <c r="BE209" s="166"/>
      <c r="BF209" s="166"/>
      <c r="BG209" s="82">
        <v>0</v>
      </c>
      <c r="BH209" s="83"/>
      <c r="BI209" s="83"/>
      <c r="BJ209" s="83"/>
      <c r="BK209" s="84"/>
      <c r="BL209" s="166"/>
      <c r="BM209" s="166"/>
      <c r="BN209" s="82">
        <v>0</v>
      </c>
      <c r="BO209" s="83"/>
      <c r="BP209" s="83"/>
      <c r="BQ209" s="83"/>
      <c r="BR209" s="84"/>
      <c r="BS209" s="166"/>
      <c r="BT209" s="166"/>
      <c r="BU209" s="82">
        <v>0</v>
      </c>
      <c r="BV209" s="83"/>
      <c r="BW209" s="83"/>
      <c r="BX209" s="83"/>
      <c r="BY209" s="84"/>
      <c r="BZ209" s="166"/>
      <c r="CA209" s="166"/>
    </row>
    <row r="210" spans="1:85" customHeight="1" ht="13.5">
      <c r="A210" s="4"/>
      <c r="B210" s="131"/>
      <c r="C210" s="146"/>
      <c r="D210" s="146"/>
      <c r="E210" s="147"/>
      <c r="F210" s="167" t="s">
        <v>36</v>
      </c>
      <c r="G210" s="168"/>
      <c r="H210" s="168"/>
      <c r="I210" s="169"/>
      <c r="J210" s="57">
        <f>SUM(J208:N209)</f>
        <v>0</v>
      </c>
      <c r="K210" s="83"/>
      <c r="L210" s="83"/>
      <c r="M210" s="83"/>
      <c r="N210" s="84"/>
      <c r="O210" s="57">
        <f>SUM(O208:P209)</f>
        <v>0</v>
      </c>
      <c r="P210" s="84"/>
      <c r="Q210" s="57">
        <f>SUM(Q208:U209)</f>
        <v>0</v>
      </c>
      <c r="R210" s="83"/>
      <c r="S210" s="83"/>
      <c r="T210" s="83"/>
      <c r="U210" s="84"/>
      <c r="V210" s="57">
        <f>SUM(V208:W209)</f>
        <v>0</v>
      </c>
      <c r="W210" s="84"/>
      <c r="X210" s="57">
        <f>SUM(X208:AB209)</f>
        <v>0</v>
      </c>
      <c r="Y210" s="83"/>
      <c r="Z210" s="83"/>
      <c r="AA210" s="83"/>
      <c r="AB210" s="84"/>
      <c r="AC210" s="57">
        <f>SUM(AC208:AD209)</f>
        <v>0</v>
      </c>
      <c r="AD210" s="84"/>
      <c r="AE210" s="57">
        <f>SUM(AE208:AI209)</f>
        <v>0</v>
      </c>
      <c r="AF210" s="83"/>
      <c r="AG210" s="83"/>
      <c r="AH210" s="83"/>
      <c r="AI210" s="84"/>
      <c r="AJ210" s="57">
        <f>SUM(AJ208:AK209)</f>
        <v>0</v>
      </c>
      <c r="AK210" s="84"/>
      <c r="AL210" s="57">
        <f>SUM(AL208:AP209)</f>
        <v>0</v>
      </c>
      <c r="AM210" s="83"/>
      <c r="AN210" s="83"/>
      <c r="AO210" s="83"/>
      <c r="AP210" s="84"/>
      <c r="AQ210" s="57">
        <f>SUM(AQ208:AR209)</f>
        <v>0</v>
      </c>
      <c r="AR210" s="83"/>
      <c r="AS210" s="166">
        <f>SUM(AS208:AW209)</f>
        <v>0</v>
      </c>
      <c r="AT210" s="166"/>
      <c r="AU210" s="166"/>
      <c r="AV210" s="166"/>
      <c r="AW210" s="166"/>
      <c r="AX210" s="166">
        <f>SUM(AX208:AY209)</f>
        <v>0</v>
      </c>
      <c r="AY210" s="166"/>
      <c r="AZ210" s="166">
        <f>SUM(AZ208:BD209)</f>
        <v>0</v>
      </c>
      <c r="BA210" s="166"/>
      <c r="BB210" s="166"/>
      <c r="BC210" s="166"/>
      <c r="BD210" s="166"/>
      <c r="BE210" s="166">
        <f>SUM(BE208:BF209)</f>
        <v>0</v>
      </c>
      <c r="BF210" s="166"/>
      <c r="BG210" s="166">
        <f>SUM(BG208:BK209)</f>
        <v>0</v>
      </c>
      <c r="BH210" s="166"/>
      <c r="BI210" s="166"/>
      <c r="BJ210" s="166"/>
      <c r="BK210" s="166"/>
      <c r="BL210" s="166">
        <f>SUM(BL208:BM209)</f>
        <v>0</v>
      </c>
      <c r="BM210" s="166"/>
      <c r="BN210" s="166">
        <f>SUM(BN208:BR209)</f>
        <v>0</v>
      </c>
      <c r="BO210" s="166"/>
      <c r="BP210" s="166"/>
      <c r="BQ210" s="166"/>
      <c r="BR210" s="166"/>
      <c r="BS210" s="166">
        <f>SUM(BS208:BT209)</f>
        <v>0</v>
      </c>
      <c r="BT210" s="166"/>
      <c r="BU210" s="166">
        <f>SUM(BU208:BY209)</f>
        <v>0</v>
      </c>
      <c r="BV210" s="166"/>
      <c r="BW210" s="166"/>
      <c r="BX210" s="166"/>
      <c r="BY210" s="166"/>
      <c r="BZ210" s="166">
        <f>SUM(BZ208:CA209)</f>
        <v>0</v>
      </c>
      <c r="CA210" s="166"/>
    </row>
    <row r="211" spans="1:85" customHeight="1" ht="13.5">
      <c r="A211" s="4"/>
      <c r="B211" s="134" t="s">
        <v>42</v>
      </c>
      <c r="C211" s="171"/>
      <c r="D211" s="171"/>
      <c r="E211" s="172"/>
      <c r="F211" s="128" t="s">
        <v>34</v>
      </c>
      <c r="G211" s="173"/>
      <c r="H211" s="173"/>
      <c r="I211" s="174"/>
      <c r="J211" s="82">
        <v>0</v>
      </c>
      <c r="K211" s="83"/>
      <c r="L211" s="83"/>
      <c r="M211" s="83"/>
      <c r="N211" s="84"/>
      <c r="O211" s="82"/>
      <c r="P211" s="84"/>
      <c r="Q211" s="82">
        <v>0</v>
      </c>
      <c r="R211" s="83"/>
      <c r="S211" s="83"/>
      <c r="T211" s="83"/>
      <c r="U211" s="84"/>
      <c r="V211" s="82"/>
      <c r="W211" s="84"/>
      <c r="X211" s="82">
        <v>0</v>
      </c>
      <c r="Y211" s="83"/>
      <c r="Z211" s="83"/>
      <c r="AA211" s="83"/>
      <c r="AB211" s="84"/>
      <c r="AC211" s="82"/>
      <c r="AD211" s="84"/>
      <c r="AE211" s="82">
        <v>0</v>
      </c>
      <c r="AF211" s="83"/>
      <c r="AG211" s="83"/>
      <c r="AH211" s="83"/>
      <c r="AI211" s="84"/>
      <c r="AJ211" s="82"/>
      <c r="AK211" s="84"/>
      <c r="AL211" s="82">
        <v>0</v>
      </c>
      <c r="AM211" s="83"/>
      <c r="AN211" s="83"/>
      <c r="AO211" s="83"/>
      <c r="AP211" s="84"/>
      <c r="AQ211" s="82"/>
      <c r="AR211" s="83"/>
      <c r="AS211" s="82">
        <v>0</v>
      </c>
      <c r="AT211" s="83"/>
      <c r="AU211" s="83"/>
      <c r="AV211" s="83"/>
      <c r="AW211" s="84"/>
      <c r="AX211" s="166"/>
      <c r="AY211" s="166"/>
      <c r="AZ211" s="82">
        <v>0</v>
      </c>
      <c r="BA211" s="83"/>
      <c r="BB211" s="83"/>
      <c r="BC211" s="83"/>
      <c r="BD211" s="84"/>
      <c r="BE211" s="166"/>
      <c r="BF211" s="166"/>
      <c r="BG211" s="82">
        <v>0</v>
      </c>
      <c r="BH211" s="83"/>
      <c r="BI211" s="83"/>
      <c r="BJ211" s="83"/>
      <c r="BK211" s="84"/>
      <c r="BL211" s="166"/>
      <c r="BM211" s="166"/>
      <c r="BN211" s="82">
        <v>0</v>
      </c>
      <c r="BO211" s="83"/>
      <c r="BP211" s="83"/>
      <c r="BQ211" s="83"/>
      <c r="BR211" s="84"/>
      <c r="BS211" s="166"/>
      <c r="BT211" s="166"/>
      <c r="BU211" s="82">
        <v>0</v>
      </c>
      <c r="BV211" s="83"/>
      <c r="BW211" s="83"/>
      <c r="BX211" s="83"/>
      <c r="BY211" s="84"/>
      <c r="BZ211" s="166"/>
      <c r="CA211" s="166"/>
    </row>
    <row r="212" spans="1:85" customHeight="1" ht="13.5">
      <c r="A212" s="4"/>
      <c r="B212" s="126"/>
      <c r="C212" s="144"/>
      <c r="D212" s="144"/>
      <c r="E212" s="145"/>
      <c r="F212" s="167" t="s">
        <v>35</v>
      </c>
      <c r="G212" s="168"/>
      <c r="H212" s="168"/>
      <c r="I212" s="169"/>
      <c r="J212" s="82">
        <v>0</v>
      </c>
      <c r="K212" s="83"/>
      <c r="L212" s="83"/>
      <c r="M212" s="83"/>
      <c r="N212" s="84"/>
      <c r="O212" s="82"/>
      <c r="P212" s="84"/>
      <c r="Q212" s="82">
        <v>0</v>
      </c>
      <c r="R212" s="83"/>
      <c r="S212" s="83"/>
      <c r="T212" s="83"/>
      <c r="U212" s="84"/>
      <c r="V212" s="82"/>
      <c r="W212" s="84"/>
      <c r="X212" s="82">
        <v>0</v>
      </c>
      <c r="Y212" s="83"/>
      <c r="Z212" s="83"/>
      <c r="AA212" s="83"/>
      <c r="AB212" s="84"/>
      <c r="AC212" s="82"/>
      <c r="AD212" s="84"/>
      <c r="AE212" s="82">
        <v>0</v>
      </c>
      <c r="AF212" s="83"/>
      <c r="AG212" s="83"/>
      <c r="AH212" s="83"/>
      <c r="AI212" s="84"/>
      <c r="AJ212" s="82"/>
      <c r="AK212" s="84"/>
      <c r="AL212" s="82">
        <v>0</v>
      </c>
      <c r="AM212" s="83"/>
      <c r="AN212" s="83"/>
      <c r="AO212" s="83"/>
      <c r="AP212" s="84"/>
      <c r="AQ212" s="82"/>
      <c r="AR212" s="83"/>
      <c r="AS212" s="82">
        <v>0</v>
      </c>
      <c r="AT212" s="83"/>
      <c r="AU212" s="83"/>
      <c r="AV212" s="83"/>
      <c r="AW212" s="84"/>
      <c r="AX212" s="166"/>
      <c r="AY212" s="166"/>
      <c r="AZ212" s="82">
        <v>0</v>
      </c>
      <c r="BA212" s="83"/>
      <c r="BB212" s="83"/>
      <c r="BC212" s="83"/>
      <c r="BD212" s="84"/>
      <c r="BE212" s="166"/>
      <c r="BF212" s="166"/>
      <c r="BG212" s="82">
        <v>0</v>
      </c>
      <c r="BH212" s="83"/>
      <c r="BI212" s="83"/>
      <c r="BJ212" s="83"/>
      <c r="BK212" s="84"/>
      <c r="BL212" s="166"/>
      <c r="BM212" s="166"/>
      <c r="BN212" s="82">
        <v>0</v>
      </c>
      <c r="BO212" s="83"/>
      <c r="BP212" s="83"/>
      <c r="BQ212" s="83"/>
      <c r="BR212" s="84"/>
      <c r="BS212" s="166"/>
      <c r="BT212" s="166"/>
      <c r="BU212" s="82">
        <v>0</v>
      </c>
      <c r="BV212" s="83"/>
      <c r="BW212" s="83"/>
      <c r="BX212" s="83"/>
      <c r="BY212" s="84"/>
      <c r="BZ212" s="166"/>
      <c r="CA212" s="166"/>
    </row>
    <row r="213" spans="1:85" customHeight="1" ht="13.5">
      <c r="A213" s="4"/>
      <c r="B213" s="131"/>
      <c r="C213" s="146"/>
      <c r="D213" s="146"/>
      <c r="E213" s="147"/>
      <c r="F213" s="167" t="s">
        <v>36</v>
      </c>
      <c r="G213" s="168"/>
      <c r="H213" s="168"/>
      <c r="I213" s="169"/>
      <c r="J213" s="57">
        <f>SUM(J211:N212)</f>
        <v>0</v>
      </c>
      <c r="K213" s="83"/>
      <c r="L213" s="83"/>
      <c r="M213" s="83"/>
      <c r="N213" s="84"/>
      <c r="O213" s="57">
        <f>SUM(O211:P212)</f>
        <v>0</v>
      </c>
      <c r="P213" s="84"/>
      <c r="Q213" s="57">
        <f>SUM(Q211:U212)</f>
        <v>0</v>
      </c>
      <c r="R213" s="83"/>
      <c r="S213" s="83"/>
      <c r="T213" s="83"/>
      <c r="U213" s="84"/>
      <c r="V213" s="57">
        <f>SUM(V211:W212)</f>
        <v>0</v>
      </c>
      <c r="W213" s="84"/>
      <c r="X213" s="57">
        <f>SUM(X211:AB212)</f>
        <v>0</v>
      </c>
      <c r="Y213" s="83"/>
      <c r="Z213" s="83"/>
      <c r="AA213" s="83"/>
      <c r="AB213" s="84"/>
      <c r="AC213" s="57">
        <f>SUM(AC211:AD212)</f>
        <v>0</v>
      </c>
      <c r="AD213" s="84"/>
      <c r="AE213" s="57">
        <f>SUM(AE211:AI212)</f>
        <v>0</v>
      </c>
      <c r="AF213" s="83"/>
      <c r="AG213" s="83"/>
      <c r="AH213" s="83"/>
      <c r="AI213" s="84"/>
      <c r="AJ213" s="57">
        <f>SUM(AJ211:AK212)</f>
        <v>0</v>
      </c>
      <c r="AK213" s="84"/>
      <c r="AL213" s="57">
        <f>SUM(AL211:AP212)</f>
        <v>0</v>
      </c>
      <c r="AM213" s="83"/>
      <c r="AN213" s="83"/>
      <c r="AO213" s="83"/>
      <c r="AP213" s="84"/>
      <c r="AQ213" s="57">
        <f>SUM(AQ211:AR212)</f>
        <v>0</v>
      </c>
      <c r="AR213" s="83"/>
      <c r="AS213" s="166">
        <f>SUM(AS211:AW212)</f>
        <v>0</v>
      </c>
      <c r="AT213" s="166"/>
      <c r="AU213" s="166"/>
      <c r="AV213" s="166"/>
      <c r="AW213" s="166"/>
      <c r="AX213" s="166">
        <f>SUM(AX211:AY212)</f>
        <v>0</v>
      </c>
      <c r="AY213" s="166"/>
      <c r="AZ213" s="166">
        <f>SUM(AZ211:BD212)</f>
        <v>0</v>
      </c>
      <c r="BA213" s="166"/>
      <c r="BB213" s="166"/>
      <c r="BC213" s="166"/>
      <c r="BD213" s="166"/>
      <c r="BE213" s="166">
        <f>SUM(BE211:BF212)</f>
        <v>0</v>
      </c>
      <c r="BF213" s="166"/>
      <c r="BG213" s="166">
        <f>SUM(BG211:BK212)</f>
        <v>0</v>
      </c>
      <c r="BH213" s="166"/>
      <c r="BI213" s="166"/>
      <c r="BJ213" s="166"/>
      <c r="BK213" s="166"/>
      <c r="BL213" s="166">
        <f>SUM(BL211:BM212)</f>
        <v>0</v>
      </c>
      <c r="BM213" s="166"/>
      <c r="BN213" s="166">
        <f>SUM(BN211:BR212)</f>
        <v>0</v>
      </c>
      <c r="BO213" s="166"/>
      <c r="BP213" s="166"/>
      <c r="BQ213" s="166"/>
      <c r="BR213" s="166"/>
      <c r="BS213" s="166">
        <f>SUM(BS211:BT212)</f>
        <v>0</v>
      </c>
      <c r="BT213" s="166"/>
      <c r="BU213" s="166">
        <f>SUM(BU211:BY212)</f>
        <v>0</v>
      </c>
      <c r="BV213" s="166"/>
      <c r="BW213" s="166"/>
      <c r="BX213" s="166"/>
      <c r="BY213" s="166"/>
      <c r="BZ213" s="166">
        <f>SUM(BZ211:CA212)</f>
        <v>0</v>
      </c>
      <c r="CA213" s="166"/>
    </row>
    <row r="214" spans="1:85" customHeight="1" ht="13.5">
      <c r="A214" s="4"/>
      <c r="B214" s="134" t="s">
        <v>43</v>
      </c>
      <c r="C214" s="171"/>
      <c r="D214" s="171"/>
      <c r="E214" s="172"/>
      <c r="F214" s="128" t="s">
        <v>34</v>
      </c>
      <c r="G214" s="173"/>
      <c r="H214" s="173"/>
      <c r="I214" s="174"/>
      <c r="J214" s="82">
        <v>0</v>
      </c>
      <c r="K214" s="83"/>
      <c r="L214" s="83"/>
      <c r="M214" s="83"/>
      <c r="N214" s="84"/>
      <c r="O214" s="82"/>
      <c r="P214" s="84"/>
      <c r="Q214" s="82">
        <v>0</v>
      </c>
      <c r="R214" s="83"/>
      <c r="S214" s="83"/>
      <c r="T214" s="83"/>
      <c r="U214" s="84"/>
      <c r="V214" s="82"/>
      <c r="W214" s="84"/>
      <c r="X214" s="82">
        <v>0</v>
      </c>
      <c r="Y214" s="83"/>
      <c r="Z214" s="83"/>
      <c r="AA214" s="83"/>
      <c r="AB214" s="84"/>
      <c r="AC214" s="82"/>
      <c r="AD214" s="84"/>
      <c r="AE214" s="82">
        <v>0</v>
      </c>
      <c r="AF214" s="83"/>
      <c r="AG214" s="83"/>
      <c r="AH214" s="83"/>
      <c r="AI214" s="84"/>
      <c r="AJ214" s="82"/>
      <c r="AK214" s="84"/>
      <c r="AL214" s="82">
        <v>0</v>
      </c>
      <c r="AM214" s="83"/>
      <c r="AN214" s="83"/>
      <c r="AO214" s="83"/>
      <c r="AP214" s="84"/>
      <c r="AQ214" s="82"/>
      <c r="AR214" s="83"/>
      <c r="AS214" s="82">
        <v>0</v>
      </c>
      <c r="AT214" s="83"/>
      <c r="AU214" s="83"/>
      <c r="AV214" s="83"/>
      <c r="AW214" s="84"/>
      <c r="AX214" s="166"/>
      <c r="AY214" s="166"/>
      <c r="AZ214" s="82">
        <v>0</v>
      </c>
      <c r="BA214" s="83"/>
      <c r="BB214" s="83"/>
      <c r="BC214" s="83"/>
      <c r="BD214" s="84"/>
      <c r="BE214" s="166"/>
      <c r="BF214" s="166"/>
      <c r="BG214" s="82">
        <v>0</v>
      </c>
      <c r="BH214" s="83"/>
      <c r="BI214" s="83"/>
      <c r="BJ214" s="83"/>
      <c r="BK214" s="84"/>
      <c r="BL214" s="166"/>
      <c r="BM214" s="166"/>
      <c r="BN214" s="82">
        <v>0</v>
      </c>
      <c r="BO214" s="83"/>
      <c r="BP214" s="83"/>
      <c r="BQ214" s="83"/>
      <c r="BR214" s="84"/>
      <c r="BS214" s="166"/>
      <c r="BT214" s="166"/>
      <c r="BU214" s="82">
        <v>0</v>
      </c>
      <c r="BV214" s="83"/>
      <c r="BW214" s="83"/>
      <c r="BX214" s="83"/>
      <c r="BY214" s="84"/>
      <c r="BZ214" s="166"/>
      <c r="CA214" s="166"/>
    </row>
    <row r="215" spans="1:85" customHeight="1" ht="13.5">
      <c r="A215" s="4"/>
      <c r="B215" s="126"/>
      <c r="C215" s="144"/>
      <c r="D215" s="144"/>
      <c r="E215" s="145"/>
      <c r="F215" s="167" t="s">
        <v>35</v>
      </c>
      <c r="G215" s="168"/>
      <c r="H215" s="168"/>
      <c r="I215" s="169"/>
      <c r="J215" s="82">
        <v>0</v>
      </c>
      <c r="K215" s="83"/>
      <c r="L215" s="83"/>
      <c r="M215" s="83"/>
      <c r="N215" s="84"/>
      <c r="O215" s="82"/>
      <c r="P215" s="84"/>
      <c r="Q215" s="82">
        <v>0</v>
      </c>
      <c r="R215" s="83"/>
      <c r="S215" s="83"/>
      <c r="T215" s="83"/>
      <c r="U215" s="84"/>
      <c r="V215" s="82"/>
      <c r="W215" s="84"/>
      <c r="X215" s="82">
        <v>0</v>
      </c>
      <c r="Y215" s="83"/>
      <c r="Z215" s="83"/>
      <c r="AA215" s="83"/>
      <c r="AB215" s="84"/>
      <c r="AC215" s="82"/>
      <c r="AD215" s="84"/>
      <c r="AE215" s="82">
        <v>0</v>
      </c>
      <c r="AF215" s="83"/>
      <c r="AG215" s="83"/>
      <c r="AH215" s="83"/>
      <c r="AI215" s="84"/>
      <c r="AJ215" s="82"/>
      <c r="AK215" s="84"/>
      <c r="AL215" s="82">
        <v>0</v>
      </c>
      <c r="AM215" s="83"/>
      <c r="AN215" s="83"/>
      <c r="AO215" s="83"/>
      <c r="AP215" s="84"/>
      <c r="AQ215" s="82"/>
      <c r="AR215" s="83"/>
      <c r="AS215" s="82">
        <v>0</v>
      </c>
      <c r="AT215" s="83"/>
      <c r="AU215" s="83"/>
      <c r="AV215" s="83"/>
      <c r="AW215" s="84"/>
      <c r="AX215" s="166"/>
      <c r="AY215" s="166"/>
      <c r="AZ215" s="82">
        <v>0</v>
      </c>
      <c r="BA215" s="83"/>
      <c r="BB215" s="83"/>
      <c r="BC215" s="83"/>
      <c r="BD215" s="84"/>
      <c r="BE215" s="166"/>
      <c r="BF215" s="166"/>
      <c r="BG215" s="82">
        <v>0</v>
      </c>
      <c r="BH215" s="83"/>
      <c r="BI215" s="83"/>
      <c r="BJ215" s="83"/>
      <c r="BK215" s="84"/>
      <c r="BL215" s="166"/>
      <c r="BM215" s="166"/>
      <c r="BN215" s="82">
        <v>0</v>
      </c>
      <c r="BO215" s="83"/>
      <c r="BP215" s="83"/>
      <c r="BQ215" s="83"/>
      <c r="BR215" s="84"/>
      <c r="BS215" s="166"/>
      <c r="BT215" s="166"/>
      <c r="BU215" s="82">
        <v>0</v>
      </c>
      <c r="BV215" s="83"/>
      <c r="BW215" s="83"/>
      <c r="BX215" s="83"/>
      <c r="BY215" s="84"/>
      <c r="BZ215" s="166"/>
      <c r="CA215" s="166"/>
    </row>
    <row r="216" spans="1:85" customHeight="1" ht="13.5">
      <c r="A216" s="4"/>
      <c r="B216" s="131"/>
      <c r="C216" s="146"/>
      <c r="D216" s="146"/>
      <c r="E216" s="147"/>
      <c r="F216" s="167" t="s">
        <v>36</v>
      </c>
      <c r="G216" s="168"/>
      <c r="H216" s="168"/>
      <c r="I216" s="169"/>
      <c r="J216" s="57">
        <f>SUM(J214:N215)</f>
        <v>0</v>
      </c>
      <c r="K216" s="83"/>
      <c r="L216" s="83"/>
      <c r="M216" s="83"/>
      <c r="N216" s="84"/>
      <c r="O216" s="57">
        <f>SUM(O214:P215)</f>
        <v>0</v>
      </c>
      <c r="P216" s="84"/>
      <c r="Q216" s="57">
        <f>SUM(Q214:U215)</f>
        <v>0</v>
      </c>
      <c r="R216" s="83"/>
      <c r="S216" s="83"/>
      <c r="T216" s="83"/>
      <c r="U216" s="84"/>
      <c r="V216" s="57">
        <f>SUM(V214:W215)</f>
        <v>0</v>
      </c>
      <c r="W216" s="84"/>
      <c r="X216" s="57">
        <f>SUM(X214:AB215)</f>
        <v>0</v>
      </c>
      <c r="Y216" s="83"/>
      <c r="Z216" s="83"/>
      <c r="AA216" s="83"/>
      <c r="AB216" s="84"/>
      <c r="AC216" s="57">
        <f>SUM(AC214:AD215)</f>
        <v>0</v>
      </c>
      <c r="AD216" s="84"/>
      <c r="AE216" s="57">
        <f>SUM(AE214:AI215)</f>
        <v>0</v>
      </c>
      <c r="AF216" s="83"/>
      <c r="AG216" s="83"/>
      <c r="AH216" s="83"/>
      <c r="AI216" s="84"/>
      <c r="AJ216" s="57">
        <f>SUM(AJ214:AK215)</f>
        <v>0</v>
      </c>
      <c r="AK216" s="84"/>
      <c r="AL216" s="57">
        <f>SUM(AL214:AP215)</f>
        <v>0</v>
      </c>
      <c r="AM216" s="83"/>
      <c r="AN216" s="83"/>
      <c r="AO216" s="83"/>
      <c r="AP216" s="84"/>
      <c r="AQ216" s="57">
        <f>SUM(AQ214:AR215)</f>
        <v>0</v>
      </c>
      <c r="AR216" s="83"/>
      <c r="AS216" s="166">
        <f>SUM(AS214:AW215)</f>
        <v>0</v>
      </c>
      <c r="AT216" s="166"/>
      <c r="AU216" s="166"/>
      <c r="AV216" s="166"/>
      <c r="AW216" s="166"/>
      <c r="AX216" s="166">
        <f>SUM(AX214:AY215)</f>
        <v>0</v>
      </c>
      <c r="AY216" s="166"/>
      <c r="AZ216" s="166">
        <f>SUM(AZ214:BD215)</f>
        <v>0</v>
      </c>
      <c r="BA216" s="166"/>
      <c r="BB216" s="166"/>
      <c r="BC216" s="166"/>
      <c r="BD216" s="166"/>
      <c r="BE216" s="166">
        <f>SUM(BE214:BF215)</f>
        <v>0</v>
      </c>
      <c r="BF216" s="166"/>
      <c r="BG216" s="166">
        <f>SUM(BG214:BK215)</f>
        <v>0</v>
      </c>
      <c r="BH216" s="166"/>
      <c r="BI216" s="166"/>
      <c r="BJ216" s="166"/>
      <c r="BK216" s="166"/>
      <c r="BL216" s="166">
        <f>SUM(BL214:BM215)</f>
        <v>0</v>
      </c>
      <c r="BM216" s="166"/>
      <c r="BN216" s="166">
        <f>SUM(BN214:BR215)</f>
        <v>0</v>
      </c>
      <c r="BO216" s="166"/>
      <c r="BP216" s="166"/>
      <c r="BQ216" s="166"/>
      <c r="BR216" s="166"/>
      <c r="BS216" s="166">
        <f>SUM(BS214:BT215)</f>
        <v>0</v>
      </c>
      <c r="BT216" s="166"/>
      <c r="BU216" s="166">
        <f>SUM(BU214:BY215)</f>
        <v>0</v>
      </c>
      <c r="BV216" s="166"/>
      <c r="BW216" s="166"/>
      <c r="BX216" s="166"/>
      <c r="BY216" s="166"/>
      <c r="BZ216" s="166">
        <f>SUM(BZ214:CA215)</f>
        <v>0</v>
      </c>
      <c r="CA216" s="166"/>
    </row>
    <row r="217" spans="1:85" customHeight="1" ht="13.5">
      <c r="A217" s="4"/>
      <c r="B217" s="134" t="s">
        <v>44</v>
      </c>
      <c r="C217" s="171"/>
      <c r="D217" s="171"/>
      <c r="E217" s="172"/>
      <c r="F217" s="128" t="s">
        <v>34</v>
      </c>
      <c r="G217" s="173"/>
      <c r="H217" s="173"/>
      <c r="I217" s="174"/>
      <c r="J217" s="82">
        <v>0</v>
      </c>
      <c r="K217" s="83"/>
      <c r="L217" s="83"/>
      <c r="M217" s="83"/>
      <c r="N217" s="84"/>
      <c r="O217" s="82"/>
      <c r="P217" s="84"/>
      <c r="Q217" s="82">
        <v>0</v>
      </c>
      <c r="R217" s="83"/>
      <c r="S217" s="83"/>
      <c r="T217" s="83"/>
      <c r="U217" s="84"/>
      <c r="V217" s="82"/>
      <c r="W217" s="84"/>
      <c r="X217" s="82">
        <v>0</v>
      </c>
      <c r="Y217" s="83"/>
      <c r="Z217" s="83"/>
      <c r="AA217" s="83"/>
      <c r="AB217" s="84"/>
      <c r="AC217" s="82"/>
      <c r="AD217" s="84"/>
      <c r="AE217" s="82">
        <v>0</v>
      </c>
      <c r="AF217" s="83"/>
      <c r="AG217" s="83"/>
      <c r="AH217" s="83"/>
      <c r="AI217" s="84"/>
      <c r="AJ217" s="82"/>
      <c r="AK217" s="84"/>
      <c r="AL217" s="82">
        <v>0</v>
      </c>
      <c r="AM217" s="83"/>
      <c r="AN217" s="83"/>
      <c r="AO217" s="83"/>
      <c r="AP217" s="84"/>
      <c r="AQ217" s="82"/>
      <c r="AR217" s="83"/>
      <c r="AS217" s="82">
        <v>0</v>
      </c>
      <c r="AT217" s="83"/>
      <c r="AU217" s="83"/>
      <c r="AV217" s="83"/>
      <c r="AW217" s="84"/>
      <c r="AX217" s="166"/>
      <c r="AY217" s="166"/>
      <c r="AZ217" s="82">
        <v>0</v>
      </c>
      <c r="BA217" s="83"/>
      <c r="BB217" s="83"/>
      <c r="BC217" s="83"/>
      <c r="BD217" s="84"/>
      <c r="BE217" s="166"/>
      <c r="BF217" s="166"/>
      <c r="BG217" s="82">
        <v>0</v>
      </c>
      <c r="BH217" s="83"/>
      <c r="BI217" s="83"/>
      <c r="BJ217" s="83"/>
      <c r="BK217" s="84"/>
      <c r="BL217" s="166"/>
      <c r="BM217" s="166"/>
      <c r="BN217" s="82">
        <v>0</v>
      </c>
      <c r="BO217" s="83"/>
      <c r="BP217" s="83"/>
      <c r="BQ217" s="83"/>
      <c r="BR217" s="84"/>
      <c r="BS217" s="166"/>
      <c r="BT217" s="166"/>
      <c r="BU217" s="82">
        <v>0</v>
      </c>
      <c r="BV217" s="83"/>
      <c r="BW217" s="83"/>
      <c r="BX217" s="83"/>
      <c r="BY217" s="84"/>
      <c r="BZ217" s="166"/>
      <c r="CA217" s="166"/>
    </row>
    <row r="218" spans="1:85" customHeight="1" ht="13.5">
      <c r="A218" s="4"/>
      <c r="B218" s="126"/>
      <c r="C218" s="144"/>
      <c r="D218" s="144"/>
      <c r="E218" s="145"/>
      <c r="F218" s="167" t="s">
        <v>35</v>
      </c>
      <c r="G218" s="168"/>
      <c r="H218" s="168"/>
      <c r="I218" s="169"/>
      <c r="J218" s="82">
        <v>0</v>
      </c>
      <c r="K218" s="83"/>
      <c r="L218" s="83"/>
      <c r="M218" s="83"/>
      <c r="N218" s="84"/>
      <c r="O218" s="82"/>
      <c r="P218" s="84"/>
      <c r="Q218" s="82">
        <v>0</v>
      </c>
      <c r="R218" s="83"/>
      <c r="S218" s="83"/>
      <c r="T218" s="83"/>
      <c r="U218" s="84"/>
      <c r="V218" s="82"/>
      <c r="W218" s="84"/>
      <c r="X218" s="82">
        <v>0</v>
      </c>
      <c r="Y218" s="83"/>
      <c r="Z218" s="83"/>
      <c r="AA218" s="83"/>
      <c r="AB218" s="84"/>
      <c r="AC218" s="82"/>
      <c r="AD218" s="84"/>
      <c r="AE218" s="82">
        <v>0</v>
      </c>
      <c r="AF218" s="83"/>
      <c r="AG218" s="83"/>
      <c r="AH218" s="83"/>
      <c r="AI218" s="84"/>
      <c r="AJ218" s="82"/>
      <c r="AK218" s="84"/>
      <c r="AL218" s="82">
        <v>0</v>
      </c>
      <c r="AM218" s="83"/>
      <c r="AN218" s="83"/>
      <c r="AO218" s="83"/>
      <c r="AP218" s="84"/>
      <c r="AQ218" s="82"/>
      <c r="AR218" s="83"/>
      <c r="AS218" s="82">
        <v>0</v>
      </c>
      <c r="AT218" s="83"/>
      <c r="AU218" s="83"/>
      <c r="AV218" s="83"/>
      <c r="AW218" s="84"/>
      <c r="AX218" s="166"/>
      <c r="AY218" s="166"/>
      <c r="AZ218" s="82">
        <v>0</v>
      </c>
      <c r="BA218" s="83"/>
      <c r="BB218" s="83"/>
      <c r="BC218" s="83"/>
      <c r="BD218" s="84"/>
      <c r="BE218" s="166"/>
      <c r="BF218" s="166"/>
      <c r="BG218" s="82">
        <v>0</v>
      </c>
      <c r="BH218" s="83"/>
      <c r="BI218" s="83"/>
      <c r="BJ218" s="83"/>
      <c r="BK218" s="84"/>
      <c r="BL218" s="166"/>
      <c r="BM218" s="166"/>
      <c r="BN218" s="82">
        <v>0</v>
      </c>
      <c r="BO218" s="83"/>
      <c r="BP218" s="83"/>
      <c r="BQ218" s="83"/>
      <c r="BR218" s="84"/>
      <c r="BS218" s="166"/>
      <c r="BT218" s="166"/>
      <c r="BU218" s="82">
        <v>0</v>
      </c>
      <c r="BV218" s="83"/>
      <c r="BW218" s="83"/>
      <c r="BX218" s="83"/>
      <c r="BY218" s="84"/>
      <c r="BZ218" s="166"/>
      <c r="CA218" s="166"/>
    </row>
    <row r="219" spans="1:85" customHeight="1" ht="13.5">
      <c r="A219" s="4"/>
      <c r="B219" s="126"/>
      <c r="C219" s="144"/>
      <c r="D219" s="144"/>
      <c r="E219" s="145"/>
      <c r="F219" s="167" t="s">
        <v>36</v>
      </c>
      <c r="G219" s="168"/>
      <c r="H219" s="168"/>
      <c r="I219" s="169"/>
      <c r="J219" s="57">
        <f>SUM(J217:N218)</f>
        <v>0</v>
      </c>
      <c r="K219" s="83"/>
      <c r="L219" s="83"/>
      <c r="M219" s="83"/>
      <c r="N219" s="84"/>
      <c r="O219" s="57">
        <f>SUM(O217:P218)</f>
        <v>0</v>
      </c>
      <c r="P219" s="84"/>
      <c r="Q219" s="57">
        <f>SUM(Q217:U218)</f>
        <v>0</v>
      </c>
      <c r="R219" s="83"/>
      <c r="S219" s="83"/>
      <c r="T219" s="83"/>
      <c r="U219" s="84"/>
      <c r="V219" s="57">
        <f>SUM(V217:W218)</f>
        <v>0</v>
      </c>
      <c r="W219" s="84"/>
      <c r="X219" s="57">
        <f>SUM(X217:AB218)</f>
        <v>0</v>
      </c>
      <c r="Y219" s="83"/>
      <c r="Z219" s="83"/>
      <c r="AA219" s="83"/>
      <c r="AB219" s="84"/>
      <c r="AC219" s="57">
        <f>SUM(AC217:AD218)</f>
        <v>0</v>
      </c>
      <c r="AD219" s="84"/>
      <c r="AE219" s="57">
        <f>SUM(AE217:AI218)</f>
        <v>0</v>
      </c>
      <c r="AF219" s="83"/>
      <c r="AG219" s="83"/>
      <c r="AH219" s="83"/>
      <c r="AI219" s="84"/>
      <c r="AJ219" s="57">
        <f>SUM(AJ217:AK218)</f>
        <v>0</v>
      </c>
      <c r="AK219" s="84"/>
      <c r="AL219" s="57">
        <f>SUM(AL217:AP218)</f>
        <v>0</v>
      </c>
      <c r="AM219" s="83"/>
      <c r="AN219" s="83"/>
      <c r="AO219" s="83"/>
      <c r="AP219" s="84"/>
      <c r="AQ219" s="57">
        <f>SUM(AQ217:AR218)</f>
        <v>0</v>
      </c>
      <c r="AR219" s="83"/>
      <c r="AS219" s="166">
        <f>SUM(AS217:AW218)</f>
        <v>0</v>
      </c>
      <c r="AT219" s="166"/>
      <c r="AU219" s="166"/>
      <c r="AV219" s="166"/>
      <c r="AW219" s="166"/>
      <c r="AX219" s="166">
        <f>SUM(AX217:AY218)</f>
        <v>0</v>
      </c>
      <c r="AY219" s="166"/>
      <c r="AZ219" s="166">
        <f>SUM(AZ217:BD218)</f>
        <v>0</v>
      </c>
      <c r="BA219" s="166"/>
      <c r="BB219" s="166"/>
      <c r="BC219" s="166"/>
      <c r="BD219" s="166"/>
      <c r="BE219" s="166">
        <f>SUM(BE217:BF218)</f>
        <v>0</v>
      </c>
      <c r="BF219" s="166"/>
      <c r="BG219" s="166">
        <f>SUM(BG217:BK218)</f>
        <v>0</v>
      </c>
      <c r="BH219" s="166"/>
      <c r="BI219" s="166"/>
      <c r="BJ219" s="166"/>
      <c r="BK219" s="166"/>
      <c r="BL219" s="166">
        <f>SUM(BL217:BM218)</f>
        <v>0</v>
      </c>
      <c r="BM219" s="166"/>
      <c r="BN219" s="166">
        <f>SUM(BN217:BR218)</f>
        <v>0</v>
      </c>
      <c r="BO219" s="166"/>
      <c r="BP219" s="166"/>
      <c r="BQ219" s="166"/>
      <c r="BR219" s="166"/>
      <c r="BS219" s="166">
        <f>SUM(BS217:BT218)</f>
        <v>0</v>
      </c>
      <c r="BT219" s="166"/>
      <c r="BU219" s="166">
        <f>SUM(BU217:BY218)</f>
        <v>0</v>
      </c>
      <c r="BV219" s="166"/>
      <c r="BW219" s="166"/>
      <c r="BX219" s="166"/>
      <c r="BY219" s="166"/>
      <c r="BZ219" s="166">
        <f>SUM(BZ217:CA218)</f>
        <v>0</v>
      </c>
      <c r="CA219" s="166"/>
    </row>
    <row r="220" spans="1:85" customHeight="1" ht="13.5">
      <c r="A220" s="4"/>
      <c r="B220" s="175" t="s">
        <v>45</v>
      </c>
      <c r="C220" s="175"/>
      <c r="D220" s="175"/>
      <c r="E220" s="175"/>
      <c r="F220" s="173" t="s">
        <v>34</v>
      </c>
      <c r="G220" s="173"/>
      <c r="H220" s="173"/>
      <c r="I220" s="174"/>
      <c r="J220" s="57">
        <f>SUM(J217,J214,J211,J208,J205,J202,J199,J196,J193)</f>
        <v>64</v>
      </c>
      <c r="K220" s="83"/>
      <c r="L220" s="83"/>
      <c r="M220" s="83"/>
      <c r="N220" s="84"/>
      <c r="O220" s="82"/>
      <c r="P220" s="84"/>
      <c r="Q220" s="57">
        <f>SUM(Q217,Q214,Q211,Q208,Q205,Q202,Q199,Q196,Q193)</f>
        <v>48</v>
      </c>
      <c r="R220" s="83"/>
      <c r="S220" s="83"/>
      <c r="T220" s="83"/>
      <c r="U220" s="84"/>
      <c r="V220" s="82"/>
      <c r="W220" s="84"/>
      <c r="X220" s="57">
        <f>SUM(X217,X214,X211,X208,X205,X202,X199,X196,X193)</f>
        <v>35</v>
      </c>
      <c r="Y220" s="83"/>
      <c r="Z220" s="83"/>
      <c r="AA220" s="83"/>
      <c r="AB220" s="84"/>
      <c r="AC220" s="82"/>
      <c r="AD220" s="84"/>
      <c r="AE220" s="57">
        <f>SUM(AE217,AE214,AE211,AE208,AE205,AE202,AE199,AE196,AE193)</f>
        <v>43</v>
      </c>
      <c r="AF220" s="83"/>
      <c r="AG220" s="83"/>
      <c r="AH220" s="83"/>
      <c r="AI220" s="84"/>
      <c r="AJ220" s="82"/>
      <c r="AK220" s="84"/>
      <c r="AL220" s="57">
        <f>SUM(AL217,AL214,AL211,AL208,AL205,AL202,AL199,AL196,AL193)</f>
        <v>32</v>
      </c>
      <c r="AM220" s="83"/>
      <c r="AN220" s="83"/>
      <c r="AO220" s="83"/>
      <c r="AP220" s="84"/>
      <c r="AQ220" s="82"/>
      <c r="AR220" s="83"/>
      <c r="AS220" s="57">
        <f>SUM(AS217,AS214,AS211,AS208,AS205,AS202,AS199,AS196,AS193)</f>
        <v>0</v>
      </c>
      <c r="AT220" s="83"/>
      <c r="AU220" s="83"/>
      <c r="AV220" s="83"/>
      <c r="AW220" s="84"/>
      <c r="AX220" s="166"/>
      <c r="AY220" s="166"/>
      <c r="AZ220" s="57">
        <f>SUM(AZ217,AZ214,AZ211,AZ208,AZ205,AZ202,AZ199,AZ196,AZ193)</f>
        <v>0</v>
      </c>
      <c r="BA220" s="83"/>
      <c r="BB220" s="83"/>
      <c r="BC220" s="83"/>
      <c r="BD220" s="84"/>
      <c r="BE220" s="166"/>
      <c r="BF220" s="166"/>
      <c r="BG220" s="57">
        <f>SUM(BG217,BG214,BG211,BG208,BG205,BG202,BG199,BG196,BG193)</f>
        <v>0</v>
      </c>
      <c r="BH220" s="83"/>
      <c r="BI220" s="83"/>
      <c r="BJ220" s="83"/>
      <c r="BK220" s="84"/>
      <c r="BL220" s="166"/>
      <c r="BM220" s="166"/>
      <c r="BN220" s="57">
        <f>SUM(BN217,BN214,BN211,BN208,BN205,BN202,BN199,BN196,BN193)</f>
        <v>0</v>
      </c>
      <c r="BO220" s="83"/>
      <c r="BP220" s="83"/>
      <c r="BQ220" s="83"/>
      <c r="BR220" s="84"/>
      <c r="BS220" s="166"/>
      <c r="BT220" s="166"/>
      <c r="BU220" s="57">
        <f>SUM(BU217,BU214,BU211,BU208,BU205,BU202,BU199,BU196,BU193)</f>
        <v>0</v>
      </c>
      <c r="BV220" s="83"/>
      <c r="BW220" s="83"/>
      <c r="BX220" s="83"/>
      <c r="BY220" s="84"/>
      <c r="BZ220" s="166"/>
      <c r="CA220" s="166"/>
    </row>
    <row r="221" spans="1:85" customHeight="1" ht="13.5">
      <c r="A221" s="4"/>
      <c r="B221" s="175"/>
      <c r="C221" s="175"/>
      <c r="D221" s="175"/>
      <c r="E221" s="175"/>
      <c r="F221" s="168" t="s">
        <v>35</v>
      </c>
      <c r="G221" s="168"/>
      <c r="H221" s="168"/>
      <c r="I221" s="169"/>
      <c r="J221" s="57">
        <f>SUM(J218,J215,J212,J209,J206,J203,J200,J197,J194)</f>
        <v>63</v>
      </c>
      <c r="K221" s="83"/>
      <c r="L221" s="83"/>
      <c r="M221" s="83"/>
      <c r="N221" s="84"/>
      <c r="O221" s="82"/>
      <c r="P221" s="84"/>
      <c r="Q221" s="57">
        <f>SUM(Q218,Q215,Q212,Q209,Q206,Q203,Q200,Q197,Q194)</f>
        <v>55</v>
      </c>
      <c r="R221" s="83"/>
      <c r="S221" s="83"/>
      <c r="T221" s="83"/>
      <c r="U221" s="84"/>
      <c r="V221" s="82"/>
      <c r="W221" s="84"/>
      <c r="X221" s="57">
        <f>SUM(X218,X215,X212,X209,X206,X203,X200,X197,X194)</f>
        <v>39</v>
      </c>
      <c r="Y221" s="83"/>
      <c r="Z221" s="83"/>
      <c r="AA221" s="83"/>
      <c r="AB221" s="84"/>
      <c r="AC221" s="82"/>
      <c r="AD221" s="84"/>
      <c r="AE221" s="57">
        <f>SUM(AE218,AE215,AE212,AE209,AE206,AE203,AE200,AE197,AE194)</f>
        <v>36</v>
      </c>
      <c r="AF221" s="83"/>
      <c r="AG221" s="83"/>
      <c r="AH221" s="83"/>
      <c r="AI221" s="84"/>
      <c r="AJ221" s="82"/>
      <c r="AK221" s="84"/>
      <c r="AL221" s="57">
        <f>SUM(AL218,AL215,AL212,AL209,AL206,AL203,AL200,AL197,AL194)</f>
        <v>35</v>
      </c>
      <c r="AM221" s="83"/>
      <c r="AN221" s="83"/>
      <c r="AO221" s="83"/>
      <c r="AP221" s="84"/>
      <c r="AQ221" s="82"/>
      <c r="AR221" s="83"/>
      <c r="AS221" s="57">
        <f>SUM(AS218,AS215,AS212,AS209,AS206,AS203,AS200,AS197,AS194)</f>
        <v>0</v>
      </c>
      <c r="AT221" s="83"/>
      <c r="AU221" s="83"/>
      <c r="AV221" s="83"/>
      <c r="AW221" s="84"/>
      <c r="AX221" s="166"/>
      <c r="AY221" s="166"/>
      <c r="AZ221" s="57">
        <f>SUM(AZ218,AZ215,AZ212,AZ209,AZ206,AZ203,AZ200,AZ197,AZ194)</f>
        <v>0</v>
      </c>
      <c r="BA221" s="83"/>
      <c r="BB221" s="83"/>
      <c r="BC221" s="83"/>
      <c r="BD221" s="84"/>
      <c r="BE221" s="166"/>
      <c r="BF221" s="166"/>
      <c r="BG221" s="57">
        <f>SUM(BG218,BG215,BG212,BG209,BG206,BG203,BG200,BG197,BG194)</f>
        <v>0</v>
      </c>
      <c r="BH221" s="83"/>
      <c r="BI221" s="83"/>
      <c r="BJ221" s="83"/>
      <c r="BK221" s="84"/>
      <c r="BL221" s="166"/>
      <c r="BM221" s="166"/>
      <c r="BN221" s="57">
        <f>SUM(BN218,BN215,BN212,BN209,BN206,BN203,BN200,BN197,BN194)</f>
        <v>0</v>
      </c>
      <c r="BO221" s="83"/>
      <c r="BP221" s="83"/>
      <c r="BQ221" s="83"/>
      <c r="BR221" s="84"/>
      <c r="BS221" s="166"/>
      <c r="BT221" s="166"/>
      <c r="BU221" s="57">
        <f>SUM(BU218,BU215,BU212,BU209,BU206,BU203,BU200,BU197,BU194)</f>
        <v>0</v>
      </c>
      <c r="BV221" s="83"/>
      <c r="BW221" s="83"/>
      <c r="BX221" s="83"/>
      <c r="BY221" s="84"/>
      <c r="BZ221" s="166"/>
      <c r="CA221" s="166"/>
    </row>
    <row r="222" spans="1:85" customHeight="1" ht="13.5" s="78" customFormat="1">
      <c r="A222" s="16"/>
      <c r="B222" s="175"/>
      <c r="C222" s="175"/>
      <c r="D222" s="175"/>
      <c r="E222" s="175"/>
      <c r="F222" s="168" t="s">
        <v>36</v>
      </c>
      <c r="G222" s="168"/>
      <c r="H222" s="168"/>
      <c r="I222" s="169"/>
      <c r="J222" s="85">
        <f>SUM(J220:N221)</f>
        <v>127</v>
      </c>
      <c r="K222" s="86"/>
      <c r="L222" s="86"/>
      <c r="M222" s="86"/>
      <c r="N222" s="87"/>
      <c r="O222" s="85">
        <f>SUM(O220:P221)</f>
        <v>0</v>
      </c>
      <c r="P222" s="87"/>
      <c r="Q222" s="85">
        <f>SUM(Q220:U221)</f>
        <v>103</v>
      </c>
      <c r="R222" s="86"/>
      <c r="S222" s="86"/>
      <c r="T222" s="86"/>
      <c r="U222" s="87"/>
      <c r="V222" s="85">
        <f>SUM(V220:W221)</f>
        <v>0</v>
      </c>
      <c r="W222" s="87"/>
      <c r="X222" s="85">
        <f>SUM(X220:AB221)</f>
        <v>74</v>
      </c>
      <c r="Y222" s="86"/>
      <c r="Z222" s="86"/>
      <c r="AA222" s="86"/>
      <c r="AB222" s="87"/>
      <c r="AC222" s="85">
        <f>SUM(AC220:AD221)</f>
        <v>0</v>
      </c>
      <c r="AD222" s="87"/>
      <c r="AE222" s="85">
        <f>SUM(AE220:AI221)</f>
        <v>79</v>
      </c>
      <c r="AF222" s="86"/>
      <c r="AG222" s="86"/>
      <c r="AH222" s="86"/>
      <c r="AI222" s="87"/>
      <c r="AJ222" s="85">
        <f>SUM(AJ220:AK221)</f>
        <v>0</v>
      </c>
      <c r="AK222" s="87"/>
      <c r="AL222" s="85">
        <f>SUM(AL220:AP221)</f>
        <v>67</v>
      </c>
      <c r="AM222" s="86"/>
      <c r="AN222" s="86"/>
      <c r="AO222" s="86"/>
      <c r="AP222" s="87"/>
      <c r="AQ222" s="85">
        <f>SUM(AQ220:AR221)</f>
        <v>0</v>
      </c>
      <c r="AR222" s="86"/>
      <c r="AS222" s="163">
        <f>SUM(AS220:AW221)</f>
        <v>0</v>
      </c>
      <c r="AT222" s="163"/>
      <c r="AU222" s="163"/>
      <c r="AV222" s="163"/>
      <c r="AW222" s="163"/>
      <c r="AX222" s="163">
        <f>SUM(AX220:AY221)</f>
        <v>0</v>
      </c>
      <c r="AY222" s="163"/>
      <c r="AZ222" s="163">
        <f>SUM(AZ220:BD221)</f>
        <v>0</v>
      </c>
      <c r="BA222" s="163"/>
      <c r="BB222" s="163"/>
      <c r="BC222" s="163"/>
      <c r="BD222" s="163"/>
      <c r="BE222" s="163">
        <f>SUM(BE220:BF221)</f>
        <v>0</v>
      </c>
      <c r="BF222" s="163"/>
      <c r="BG222" s="163">
        <f>SUM(BG220:BK221)</f>
        <v>0</v>
      </c>
      <c r="BH222" s="163"/>
      <c r="BI222" s="163"/>
      <c r="BJ222" s="163"/>
      <c r="BK222" s="163"/>
      <c r="BL222" s="163">
        <f>SUM(BL220:BM221)</f>
        <v>0</v>
      </c>
      <c r="BM222" s="163"/>
      <c r="BN222" s="163">
        <f>SUM(BN220:BR221)</f>
        <v>0</v>
      </c>
      <c r="BO222" s="163"/>
      <c r="BP222" s="163"/>
      <c r="BQ222" s="163"/>
      <c r="BR222" s="163"/>
      <c r="BS222" s="163">
        <f>SUM(BS220:BT221)</f>
        <v>0</v>
      </c>
      <c r="BT222" s="163"/>
      <c r="BU222" s="163">
        <f>SUM(BU220:BY221)</f>
        <v>0</v>
      </c>
      <c r="BV222" s="163"/>
      <c r="BW222" s="163"/>
      <c r="BX222" s="163"/>
      <c r="BY222" s="163"/>
      <c r="BZ222" s="163">
        <f>SUM(BZ220:CA221)</f>
        <v>0</v>
      </c>
      <c r="CA222" s="163"/>
    </row>
    <row r="223" spans="1:85" customHeight="1" ht="13.5">
      <c r="A223" s="4"/>
      <c r="B223" s="17"/>
      <c r="C223" s="17"/>
      <c r="D223" s="17"/>
      <c r="E223" s="17"/>
      <c r="F223" s="17"/>
      <c r="G223" s="17"/>
      <c r="H223" s="17"/>
      <c r="I223" s="17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</row>
    <row r="224" spans="1:85" customHeight="1" ht="13.5">
      <c r="A224" s="4"/>
      <c r="B224" s="56" t="s">
        <v>59</v>
      </c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</row>
    <row r="225" spans="1:85" customHeight="1" ht="13.5">
      <c r="A225" s="4"/>
      <c r="B225" s="118" t="s">
        <v>51</v>
      </c>
      <c r="C225" s="118"/>
      <c r="D225" s="118"/>
      <c r="E225" s="118"/>
      <c r="F225" s="118" t="s">
        <v>23</v>
      </c>
      <c r="G225" s="118"/>
      <c r="H225" s="118"/>
      <c r="I225" s="141"/>
      <c r="J225" s="205" t="s">
        <v>52</v>
      </c>
      <c r="K225" s="206"/>
      <c r="L225" s="206"/>
      <c r="M225" s="206"/>
      <c r="N225" s="206"/>
      <c r="O225" s="206"/>
      <c r="P225" s="206"/>
      <c r="Q225" s="206"/>
      <c r="R225" s="206"/>
      <c r="S225" s="206"/>
      <c r="T225" s="206"/>
      <c r="U225" s="206"/>
      <c r="V225" s="206"/>
      <c r="W225" s="206"/>
      <c r="X225" s="206"/>
      <c r="Y225" s="206"/>
      <c r="Z225" s="206"/>
      <c r="AA225" s="206"/>
      <c r="AB225" s="206"/>
      <c r="AC225" s="206"/>
      <c r="AD225" s="206"/>
      <c r="AE225" s="206"/>
      <c r="AF225" s="206"/>
      <c r="AG225" s="206"/>
      <c r="AH225" s="206"/>
      <c r="AI225" s="206"/>
      <c r="AJ225" s="206"/>
      <c r="AK225" s="206"/>
      <c r="AL225" s="184" t="s">
        <v>53</v>
      </c>
      <c r="AM225" s="184"/>
      <c r="AN225" s="184"/>
      <c r="AO225" s="184"/>
      <c r="AP225" s="184"/>
      <c r="AQ225" s="184"/>
      <c r="AR225" s="184"/>
      <c r="AS225" s="184"/>
      <c r="AT225" s="184"/>
      <c r="AU225" s="184"/>
      <c r="AV225" s="184"/>
      <c r="AW225" s="184"/>
      <c r="AX225" s="184"/>
      <c r="AY225" s="184"/>
      <c r="AZ225" s="184"/>
      <c r="BA225" s="184"/>
      <c r="BB225" s="184"/>
      <c r="BC225" s="184"/>
      <c r="BD225" s="184"/>
      <c r="BE225" s="184"/>
      <c r="BF225" s="184"/>
      <c r="BG225" s="184"/>
      <c r="BH225" s="184"/>
      <c r="BI225" s="184"/>
      <c r="BJ225" s="184"/>
      <c r="BK225" s="184"/>
      <c r="BL225" s="184"/>
      <c r="BM225" s="184"/>
    </row>
    <row r="226" spans="1:85" customHeight="1" ht="13.5">
      <c r="A226" s="4"/>
      <c r="B226" s="118"/>
      <c r="C226" s="118"/>
      <c r="D226" s="118"/>
      <c r="E226" s="118"/>
      <c r="F226" s="118"/>
      <c r="G226" s="118"/>
      <c r="H226" s="118"/>
      <c r="I226" s="141"/>
      <c r="J226" s="207" t="s">
        <v>60</v>
      </c>
      <c r="K226" s="208"/>
      <c r="L226" s="208"/>
      <c r="M226" s="208"/>
      <c r="N226" s="208"/>
      <c r="O226" s="206"/>
      <c r="P226" s="206"/>
      <c r="Q226" s="207" t="s">
        <v>27</v>
      </c>
      <c r="R226" s="208"/>
      <c r="S226" s="208"/>
      <c r="T226" s="208"/>
      <c r="U226" s="208"/>
      <c r="V226" s="206"/>
      <c r="W226" s="206"/>
      <c r="X226" s="207" t="s">
        <v>54</v>
      </c>
      <c r="Y226" s="208"/>
      <c r="Z226" s="208"/>
      <c r="AA226" s="208"/>
      <c r="AB226" s="208"/>
      <c r="AC226" s="206"/>
      <c r="AD226" s="206"/>
      <c r="AE226" s="207" t="s">
        <v>61</v>
      </c>
      <c r="AF226" s="208"/>
      <c r="AG226" s="208"/>
      <c r="AH226" s="208"/>
      <c r="AI226" s="208"/>
      <c r="AJ226" s="206"/>
      <c r="AK226" s="206"/>
      <c r="AL226" s="184" t="s">
        <v>60</v>
      </c>
      <c r="AM226" s="184"/>
      <c r="AN226" s="184"/>
      <c r="AO226" s="184"/>
      <c r="AP226" s="184"/>
      <c r="AQ226" s="184"/>
      <c r="AR226" s="184"/>
      <c r="AS226" s="184" t="s">
        <v>27</v>
      </c>
      <c r="AT226" s="184"/>
      <c r="AU226" s="184"/>
      <c r="AV226" s="184"/>
      <c r="AW226" s="184"/>
      <c r="AX226" s="184"/>
      <c r="AY226" s="184"/>
      <c r="AZ226" s="184" t="s">
        <v>54</v>
      </c>
      <c r="BA226" s="184"/>
      <c r="BB226" s="184"/>
      <c r="BC226" s="184"/>
      <c r="BD226" s="184"/>
      <c r="BE226" s="184"/>
      <c r="BF226" s="184"/>
      <c r="BG226" s="184" t="s">
        <v>61</v>
      </c>
      <c r="BH226" s="184"/>
      <c r="BI226" s="184"/>
      <c r="BJ226" s="184"/>
      <c r="BK226" s="184"/>
      <c r="BL226" s="184"/>
      <c r="BM226" s="184"/>
    </row>
    <row r="227" spans="1:85" customHeight="1" ht="13.5">
      <c r="A227" s="4"/>
      <c r="B227" s="118"/>
      <c r="C227" s="118"/>
      <c r="D227" s="118"/>
      <c r="E227" s="118"/>
      <c r="F227" s="118"/>
      <c r="G227" s="118"/>
      <c r="H227" s="118"/>
      <c r="I227" s="141"/>
      <c r="J227" s="163" t="s">
        <v>57</v>
      </c>
      <c r="K227" s="163"/>
      <c r="L227" s="163"/>
      <c r="M227" s="163"/>
      <c r="N227" s="163"/>
      <c r="O227" s="157" t="s">
        <v>58</v>
      </c>
      <c r="P227" s="154"/>
      <c r="Q227" s="163" t="s">
        <v>57</v>
      </c>
      <c r="R227" s="163"/>
      <c r="S227" s="163"/>
      <c r="T227" s="163"/>
      <c r="U227" s="163"/>
      <c r="V227" s="157" t="s">
        <v>58</v>
      </c>
      <c r="W227" s="154"/>
      <c r="X227" s="163" t="s">
        <v>57</v>
      </c>
      <c r="Y227" s="163"/>
      <c r="Z227" s="163"/>
      <c r="AA227" s="163"/>
      <c r="AB227" s="163"/>
      <c r="AC227" s="157" t="s">
        <v>58</v>
      </c>
      <c r="AD227" s="154"/>
      <c r="AE227" s="163" t="s">
        <v>57</v>
      </c>
      <c r="AF227" s="163"/>
      <c r="AG227" s="163"/>
      <c r="AH227" s="163"/>
      <c r="AI227" s="163"/>
      <c r="AJ227" s="157" t="s">
        <v>58</v>
      </c>
      <c r="AK227" s="154"/>
      <c r="AL227" s="163" t="s">
        <v>57</v>
      </c>
      <c r="AM227" s="163"/>
      <c r="AN227" s="163"/>
      <c r="AO227" s="163"/>
      <c r="AP227" s="163"/>
      <c r="AQ227" s="163" t="s">
        <v>58</v>
      </c>
      <c r="AR227" s="163"/>
      <c r="AS227" s="163" t="s">
        <v>57</v>
      </c>
      <c r="AT227" s="163"/>
      <c r="AU227" s="163"/>
      <c r="AV227" s="163"/>
      <c r="AW227" s="163"/>
      <c r="AX227" s="163" t="s">
        <v>58</v>
      </c>
      <c r="AY227" s="163"/>
      <c r="AZ227" s="163" t="s">
        <v>57</v>
      </c>
      <c r="BA227" s="163"/>
      <c r="BB227" s="163"/>
      <c r="BC227" s="163"/>
      <c r="BD227" s="163"/>
      <c r="BE227" s="163" t="s">
        <v>58</v>
      </c>
      <c r="BF227" s="163"/>
      <c r="BG227" s="163" t="s">
        <v>57</v>
      </c>
      <c r="BH227" s="163"/>
      <c r="BI227" s="163"/>
      <c r="BJ227" s="163"/>
      <c r="BK227" s="163"/>
      <c r="BL227" s="163" t="s">
        <v>58</v>
      </c>
      <c r="BM227" s="163"/>
    </row>
    <row r="228" spans="1:85" customHeight="1" ht="13.5">
      <c r="A228" s="4"/>
      <c r="B228" s="118"/>
      <c r="C228" s="118"/>
      <c r="D228" s="118"/>
      <c r="E228" s="118"/>
      <c r="F228" s="118"/>
      <c r="G228" s="118"/>
      <c r="H228" s="118"/>
      <c r="I228" s="141"/>
      <c r="J228" s="163"/>
      <c r="K228" s="163"/>
      <c r="L228" s="163"/>
      <c r="M228" s="163"/>
      <c r="N228" s="163"/>
      <c r="O228" s="158"/>
      <c r="P228" s="156"/>
      <c r="Q228" s="163"/>
      <c r="R228" s="163"/>
      <c r="S228" s="163"/>
      <c r="T228" s="163"/>
      <c r="U228" s="163"/>
      <c r="V228" s="158"/>
      <c r="W228" s="156"/>
      <c r="X228" s="163"/>
      <c r="Y228" s="163"/>
      <c r="Z228" s="163"/>
      <c r="AA228" s="163"/>
      <c r="AB228" s="163"/>
      <c r="AC228" s="158"/>
      <c r="AD228" s="156"/>
      <c r="AE228" s="163"/>
      <c r="AF228" s="163"/>
      <c r="AG228" s="163"/>
      <c r="AH228" s="163"/>
      <c r="AI228" s="163"/>
      <c r="AJ228" s="158"/>
      <c r="AK228" s="156"/>
      <c r="AL228" s="163"/>
      <c r="AM228" s="163"/>
      <c r="AN228" s="163"/>
      <c r="AO228" s="163"/>
      <c r="AP228" s="163"/>
      <c r="AQ228" s="163"/>
      <c r="AR228" s="163"/>
      <c r="AS228" s="163"/>
      <c r="AT228" s="163"/>
      <c r="AU228" s="163"/>
      <c r="AV228" s="163"/>
      <c r="AW228" s="163"/>
      <c r="AX228" s="163"/>
      <c r="AY228" s="163"/>
      <c r="AZ228" s="163"/>
      <c r="BA228" s="163"/>
      <c r="BB228" s="163"/>
      <c r="BC228" s="163"/>
      <c r="BD228" s="163"/>
      <c r="BE228" s="163"/>
      <c r="BF228" s="163"/>
      <c r="BG228" s="163"/>
      <c r="BH228" s="163"/>
      <c r="BI228" s="163"/>
      <c r="BJ228" s="163"/>
      <c r="BK228" s="163"/>
      <c r="BL228" s="163"/>
      <c r="BM228" s="163"/>
    </row>
    <row r="229" spans="1:85" customHeight="1" ht="13.5">
      <c r="A229" s="4"/>
      <c r="B229" s="126" t="s">
        <v>33</v>
      </c>
      <c r="C229" s="144"/>
      <c r="D229" s="144"/>
      <c r="E229" s="145"/>
      <c r="F229" s="148" t="s">
        <v>34</v>
      </c>
      <c r="G229" s="149"/>
      <c r="H229" s="149"/>
      <c r="I229" s="150"/>
      <c r="J229" s="151">
        <v>22</v>
      </c>
      <c r="K229" s="152"/>
      <c r="L229" s="152"/>
      <c r="M229" s="152"/>
      <c r="N229" s="153"/>
      <c r="O229" s="82"/>
      <c r="P229" s="84"/>
      <c r="Q229" s="151">
        <v>25</v>
      </c>
      <c r="R229" s="152"/>
      <c r="S229" s="152"/>
      <c r="T229" s="152"/>
      <c r="U229" s="153"/>
      <c r="V229" s="82"/>
      <c r="W229" s="84"/>
      <c r="X229" s="151">
        <v>23</v>
      </c>
      <c r="Y229" s="152"/>
      <c r="Z229" s="152"/>
      <c r="AA229" s="152"/>
      <c r="AB229" s="153"/>
      <c r="AC229" s="82"/>
      <c r="AD229" s="84"/>
      <c r="AE229" s="151">
        <v>24</v>
      </c>
      <c r="AF229" s="152"/>
      <c r="AG229" s="152"/>
      <c r="AH229" s="152"/>
      <c r="AI229" s="153"/>
      <c r="AJ229" s="82"/>
      <c r="AK229" s="84"/>
      <c r="AL229" s="151">
        <v>0</v>
      </c>
      <c r="AM229" s="152"/>
      <c r="AN229" s="152"/>
      <c r="AO229" s="152"/>
      <c r="AP229" s="153"/>
      <c r="AQ229" s="166"/>
      <c r="AR229" s="166"/>
      <c r="AS229" s="151">
        <v>0</v>
      </c>
      <c r="AT229" s="152"/>
      <c r="AU229" s="152"/>
      <c r="AV229" s="152"/>
      <c r="AW229" s="153"/>
      <c r="AX229" s="166"/>
      <c r="AY229" s="166"/>
      <c r="AZ229" s="151">
        <v>0</v>
      </c>
      <c r="BA229" s="152"/>
      <c r="BB229" s="152"/>
      <c r="BC229" s="152"/>
      <c r="BD229" s="153"/>
      <c r="BE229" s="166"/>
      <c r="BF229" s="166"/>
      <c r="BG229" s="151">
        <v>0</v>
      </c>
      <c r="BH229" s="152"/>
      <c r="BI229" s="152"/>
      <c r="BJ229" s="152"/>
      <c r="BK229" s="153"/>
      <c r="BL229" s="166"/>
      <c r="BM229" s="166"/>
    </row>
    <row r="230" spans="1:85" customHeight="1" ht="13.5">
      <c r="A230" s="4"/>
      <c r="B230" s="126"/>
      <c r="C230" s="144"/>
      <c r="D230" s="144"/>
      <c r="E230" s="145"/>
      <c r="F230" s="167" t="s">
        <v>35</v>
      </c>
      <c r="G230" s="168"/>
      <c r="H230" s="168"/>
      <c r="I230" s="169"/>
      <c r="J230" s="82">
        <v>19</v>
      </c>
      <c r="K230" s="83"/>
      <c r="L230" s="83"/>
      <c r="M230" s="83"/>
      <c r="N230" s="84"/>
      <c r="O230" s="82"/>
      <c r="P230" s="84"/>
      <c r="Q230" s="82">
        <v>19</v>
      </c>
      <c r="R230" s="83"/>
      <c r="S230" s="83"/>
      <c r="T230" s="83"/>
      <c r="U230" s="84"/>
      <c r="V230" s="82"/>
      <c r="W230" s="84"/>
      <c r="X230" s="82">
        <v>21</v>
      </c>
      <c r="Y230" s="83"/>
      <c r="Z230" s="83"/>
      <c r="AA230" s="83"/>
      <c r="AB230" s="84"/>
      <c r="AC230" s="82"/>
      <c r="AD230" s="84"/>
      <c r="AE230" s="82">
        <v>23</v>
      </c>
      <c r="AF230" s="83"/>
      <c r="AG230" s="83"/>
      <c r="AH230" s="83"/>
      <c r="AI230" s="84"/>
      <c r="AJ230" s="82"/>
      <c r="AK230" s="84"/>
      <c r="AL230" s="82">
        <v>0</v>
      </c>
      <c r="AM230" s="83"/>
      <c r="AN230" s="83"/>
      <c r="AO230" s="83"/>
      <c r="AP230" s="84"/>
      <c r="AQ230" s="166"/>
      <c r="AR230" s="166"/>
      <c r="AS230" s="82">
        <v>0</v>
      </c>
      <c r="AT230" s="83"/>
      <c r="AU230" s="83"/>
      <c r="AV230" s="83"/>
      <c r="AW230" s="84"/>
      <c r="AX230" s="166"/>
      <c r="AY230" s="166"/>
      <c r="AZ230" s="82">
        <v>0</v>
      </c>
      <c r="BA230" s="83"/>
      <c r="BB230" s="83"/>
      <c r="BC230" s="83"/>
      <c r="BD230" s="84"/>
      <c r="BE230" s="166"/>
      <c r="BF230" s="166"/>
      <c r="BG230" s="82">
        <v>0</v>
      </c>
      <c r="BH230" s="83"/>
      <c r="BI230" s="83"/>
      <c r="BJ230" s="83"/>
      <c r="BK230" s="84"/>
      <c r="BL230" s="166"/>
      <c r="BM230" s="166"/>
    </row>
    <row r="231" spans="1:85" customHeight="1" ht="13.5">
      <c r="A231" s="4"/>
      <c r="B231" s="131"/>
      <c r="C231" s="146"/>
      <c r="D231" s="146"/>
      <c r="E231" s="147"/>
      <c r="F231" s="167" t="s">
        <v>36</v>
      </c>
      <c r="G231" s="168"/>
      <c r="H231" s="168"/>
      <c r="I231" s="169"/>
      <c r="J231" s="57">
        <f>SUM(J229:N230)</f>
        <v>41</v>
      </c>
      <c r="K231" s="83"/>
      <c r="L231" s="83"/>
      <c r="M231" s="83"/>
      <c r="N231" s="84"/>
      <c r="O231" s="57">
        <f>SUM(O229:P230)</f>
        <v>0</v>
      </c>
      <c r="P231" s="84"/>
      <c r="Q231" s="57">
        <f>SUM(Q229:U230)</f>
        <v>44</v>
      </c>
      <c r="R231" s="83"/>
      <c r="S231" s="83"/>
      <c r="T231" s="83"/>
      <c r="U231" s="84"/>
      <c r="V231" s="57">
        <f>SUM(V229:W230)</f>
        <v>0</v>
      </c>
      <c r="W231" s="84"/>
      <c r="X231" s="57">
        <f>SUM(X229:AB230)</f>
        <v>44</v>
      </c>
      <c r="Y231" s="83"/>
      <c r="Z231" s="83"/>
      <c r="AA231" s="83"/>
      <c r="AB231" s="84"/>
      <c r="AC231" s="57">
        <f>SUM(AC229:AD230)</f>
        <v>0</v>
      </c>
      <c r="AD231" s="84"/>
      <c r="AE231" s="57">
        <f>SUM(AE229:AI230)</f>
        <v>47</v>
      </c>
      <c r="AF231" s="83"/>
      <c r="AG231" s="83"/>
      <c r="AH231" s="83"/>
      <c r="AI231" s="84"/>
      <c r="AJ231" s="57">
        <f>SUM(AJ229:AK230)</f>
        <v>0</v>
      </c>
      <c r="AK231" s="84"/>
      <c r="AL231" s="57">
        <f>SUM(AL229:AP230)</f>
        <v>0</v>
      </c>
      <c r="AM231" s="83"/>
      <c r="AN231" s="83"/>
      <c r="AO231" s="83"/>
      <c r="AP231" s="84"/>
      <c r="AQ231" s="166">
        <f>SUM(AQ229:AR230)</f>
        <v>0</v>
      </c>
      <c r="AR231" s="166"/>
      <c r="AS231" s="57">
        <f>SUM(AS229:AW230)</f>
        <v>0</v>
      </c>
      <c r="AT231" s="83"/>
      <c r="AU231" s="83"/>
      <c r="AV231" s="83"/>
      <c r="AW231" s="84"/>
      <c r="AX231" s="166">
        <f>SUM(AX229:AY230)</f>
        <v>0</v>
      </c>
      <c r="AY231" s="166"/>
      <c r="AZ231" s="57">
        <f>SUM(AZ229:BD230)</f>
        <v>0</v>
      </c>
      <c r="BA231" s="83"/>
      <c r="BB231" s="83"/>
      <c r="BC231" s="83"/>
      <c r="BD231" s="84"/>
      <c r="BE231" s="166">
        <f>SUM(BE229:BF230)</f>
        <v>0</v>
      </c>
      <c r="BF231" s="166"/>
      <c r="BG231" s="57">
        <f>SUM(BG229:BK230)</f>
        <v>0</v>
      </c>
      <c r="BH231" s="83"/>
      <c r="BI231" s="83"/>
      <c r="BJ231" s="83"/>
      <c r="BK231" s="84"/>
      <c r="BL231" s="166">
        <f>SUM(BL229:BM230)</f>
        <v>0</v>
      </c>
      <c r="BM231" s="166"/>
    </row>
    <row r="232" spans="1:85" customHeight="1" ht="13.5">
      <c r="A232" s="4"/>
      <c r="B232" s="134" t="s">
        <v>37</v>
      </c>
      <c r="C232" s="171"/>
      <c r="D232" s="171"/>
      <c r="E232" s="172"/>
      <c r="F232" s="128" t="s">
        <v>34</v>
      </c>
      <c r="G232" s="173"/>
      <c r="H232" s="173"/>
      <c r="I232" s="174"/>
      <c r="J232" s="151">
        <v>28</v>
      </c>
      <c r="K232" s="152"/>
      <c r="L232" s="152"/>
      <c r="M232" s="152"/>
      <c r="N232" s="153"/>
      <c r="O232" s="82"/>
      <c r="P232" s="84"/>
      <c r="Q232" s="151">
        <v>27</v>
      </c>
      <c r="R232" s="152"/>
      <c r="S232" s="152"/>
      <c r="T232" s="152"/>
      <c r="U232" s="153"/>
      <c r="V232" s="82"/>
      <c r="W232" s="84"/>
      <c r="X232" s="151">
        <v>24</v>
      </c>
      <c r="Y232" s="152"/>
      <c r="Z232" s="152"/>
      <c r="AA232" s="152"/>
      <c r="AB232" s="153"/>
      <c r="AC232" s="82"/>
      <c r="AD232" s="84"/>
      <c r="AE232" s="151">
        <v>13</v>
      </c>
      <c r="AF232" s="152"/>
      <c r="AG232" s="152"/>
      <c r="AH232" s="152"/>
      <c r="AI232" s="153"/>
      <c r="AJ232" s="82"/>
      <c r="AK232" s="84"/>
      <c r="AL232" s="151">
        <v>0</v>
      </c>
      <c r="AM232" s="152"/>
      <c r="AN232" s="152"/>
      <c r="AO232" s="152"/>
      <c r="AP232" s="153"/>
      <c r="AQ232" s="166"/>
      <c r="AR232" s="166"/>
      <c r="AS232" s="151">
        <v>0</v>
      </c>
      <c r="AT232" s="152"/>
      <c r="AU232" s="152"/>
      <c r="AV232" s="152"/>
      <c r="AW232" s="153"/>
      <c r="AX232" s="166"/>
      <c r="AY232" s="166"/>
      <c r="AZ232" s="151">
        <v>0</v>
      </c>
      <c r="BA232" s="152"/>
      <c r="BB232" s="152"/>
      <c r="BC232" s="152"/>
      <c r="BD232" s="153"/>
      <c r="BE232" s="166"/>
      <c r="BF232" s="166"/>
      <c r="BG232" s="151">
        <v>0</v>
      </c>
      <c r="BH232" s="152"/>
      <c r="BI232" s="152"/>
      <c r="BJ232" s="152"/>
      <c r="BK232" s="153"/>
      <c r="BL232" s="166"/>
      <c r="BM232" s="166"/>
    </row>
    <row r="233" spans="1:85" customHeight="1" ht="13.5">
      <c r="A233" s="4"/>
      <c r="B233" s="126"/>
      <c r="C233" s="144"/>
      <c r="D233" s="144"/>
      <c r="E233" s="145"/>
      <c r="F233" s="167" t="s">
        <v>35</v>
      </c>
      <c r="G233" s="168"/>
      <c r="H233" s="168"/>
      <c r="I233" s="169"/>
      <c r="J233" s="82">
        <v>24</v>
      </c>
      <c r="K233" s="83"/>
      <c r="L233" s="83"/>
      <c r="M233" s="83"/>
      <c r="N233" s="84"/>
      <c r="O233" s="82"/>
      <c r="P233" s="84"/>
      <c r="Q233" s="82">
        <v>16</v>
      </c>
      <c r="R233" s="83"/>
      <c r="S233" s="83"/>
      <c r="T233" s="83"/>
      <c r="U233" s="84"/>
      <c r="V233" s="82"/>
      <c r="W233" s="84"/>
      <c r="X233" s="82">
        <v>23</v>
      </c>
      <c r="Y233" s="83"/>
      <c r="Z233" s="83"/>
      <c r="AA233" s="83"/>
      <c r="AB233" s="84"/>
      <c r="AC233" s="82"/>
      <c r="AD233" s="84"/>
      <c r="AE233" s="82">
        <v>29</v>
      </c>
      <c r="AF233" s="83"/>
      <c r="AG233" s="83"/>
      <c r="AH233" s="83"/>
      <c r="AI233" s="84"/>
      <c r="AJ233" s="82"/>
      <c r="AK233" s="84"/>
      <c r="AL233" s="82">
        <v>0</v>
      </c>
      <c r="AM233" s="83"/>
      <c r="AN233" s="83"/>
      <c r="AO233" s="83"/>
      <c r="AP233" s="84"/>
      <c r="AQ233" s="166"/>
      <c r="AR233" s="166"/>
      <c r="AS233" s="82">
        <v>0</v>
      </c>
      <c r="AT233" s="83"/>
      <c r="AU233" s="83"/>
      <c r="AV233" s="83"/>
      <c r="AW233" s="84"/>
      <c r="AX233" s="166"/>
      <c r="AY233" s="166"/>
      <c r="AZ233" s="82">
        <v>0</v>
      </c>
      <c r="BA233" s="83"/>
      <c r="BB233" s="83"/>
      <c r="BC233" s="83"/>
      <c r="BD233" s="84"/>
      <c r="BE233" s="166"/>
      <c r="BF233" s="166"/>
      <c r="BG233" s="82">
        <v>0</v>
      </c>
      <c r="BH233" s="83"/>
      <c r="BI233" s="83"/>
      <c r="BJ233" s="83"/>
      <c r="BK233" s="84"/>
      <c r="BL233" s="166"/>
      <c r="BM233" s="166"/>
    </row>
    <row r="234" spans="1:85" customHeight="1" ht="13.5">
      <c r="A234" s="4"/>
      <c r="B234" s="131"/>
      <c r="C234" s="146"/>
      <c r="D234" s="146"/>
      <c r="E234" s="147"/>
      <c r="F234" s="167" t="s">
        <v>36</v>
      </c>
      <c r="G234" s="168"/>
      <c r="H234" s="168"/>
      <c r="I234" s="169"/>
      <c r="J234" s="57">
        <f>SUM(J232:N233)</f>
        <v>52</v>
      </c>
      <c r="K234" s="83"/>
      <c r="L234" s="83"/>
      <c r="M234" s="83"/>
      <c r="N234" s="84"/>
      <c r="O234" s="57">
        <f>SUM(O232:P233)</f>
        <v>0</v>
      </c>
      <c r="P234" s="84"/>
      <c r="Q234" s="57">
        <f>SUM(Q232:U233)</f>
        <v>43</v>
      </c>
      <c r="R234" s="83"/>
      <c r="S234" s="83"/>
      <c r="T234" s="83"/>
      <c r="U234" s="84"/>
      <c r="V234" s="57">
        <f>SUM(V232:W233)</f>
        <v>0</v>
      </c>
      <c r="W234" s="84"/>
      <c r="X234" s="57">
        <f>SUM(X232:AB233)</f>
        <v>47</v>
      </c>
      <c r="Y234" s="83"/>
      <c r="Z234" s="83"/>
      <c r="AA234" s="83"/>
      <c r="AB234" s="84"/>
      <c r="AC234" s="57">
        <f>SUM(AC232:AD233)</f>
        <v>0</v>
      </c>
      <c r="AD234" s="84"/>
      <c r="AE234" s="57">
        <f>SUM(AE232:AI233)</f>
        <v>42</v>
      </c>
      <c r="AF234" s="83"/>
      <c r="AG234" s="83"/>
      <c r="AH234" s="83"/>
      <c r="AI234" s="84"/>
      <c r="AJ234" s="57">
        <f>SUM(AJ232:AK233)</f>
        <v>0</v>
      </c>
      <c r="AK234" s="84"/>
      <c r="AL234" s="57">
        <f>SUM(AL232:AP233)</f>
        <v>0</v>
      </c>
      <c r="AM234" s="83"/>
      <c r="AN234" s="83"/>
      <c r="AO234" s="83"/>
      <c r="AP234" s="84"/>
      <c r="AQ234" s="166">
        <f>SUM(AQ232:AR233)</f>
        <v>0</v>
      </c>
      <c r="AR234" s="166"/>
      <c r="AS234" s="57">
        <f>SUM(AS232:AW233)</f>
        <v>0</v>
      </c>
      <c r="AT234" s="83"/>
      <c r="AU234" s="83"/>
      <c r="AV234" s="83"/>
      <c r="AW234" s="84"/>
      <c r="AX234" s="166">
        <f>SUM(AX232:AY233)</f>
        <v>0</v>
      </c>
      <c r="AY234" s="166"/>
      <c r="AZ234" s="57">
        <f>SUM(AZ232:BD233)</f>
        <v>0</v>
      </c>
      <c r="BA234" s="83"/>
      <c r="BB234" s="83"/>
      <c r="BC234" s="83"/>
      <c r="BD234" s="84"/>
      <c r="BE234" s="166">
        <f>SUM(BE232:BF233)</f>
        <v>0</v>
      </c>
      <c r="BF234" s="166"/>
      <c r="BG234" s="57">
        <f>SUM(BG232:BK233)</f>
        <v>0</v>
      </c>
      <c r="BH234" s="83"/>
      <c r="BI234" s="83"/>
      <c r="BJ234" s="83"/>
      <c r="BK234" s="84"/>
      <c r="BL234" s="166">
        <f>SUM(BL232:BM233)</f>
        <v>0</v>
      </c>
      <c r="BM234" s="166"/>
    </row>
    <row r="235" spans="1:85" customHeight="1" ht="13.5">
      <c r="A235" s="4"/>
      <c r="B235" s="134" t="s">
        <v>38</v>
      </c>
      <c r="C235" s="171"/>
      <c r="D235" s="171"/>
      <c r="E235" s="172"/>
      <c r="F235" s="128" t="s">
        <v>34</v>
      </c>
      <c r="G235" s="173"/>
      <c r="H235" s="173"/>
      <c r="I235" s="174"/>
      <c r="J235" s="151">
        <v>6</v>
      </c>
      <c r="K235" s="152"/>
      <c r="L235" s="152"/>
      <c r="M235" s="152"/>
      <c r="N235" s="153"/>
      <c r="O235" s="82"/>
      <c r="P235" s="84"/>
      <c r="Q235" s="151">
        <v>7</v>
      </c>
      <c r="R235" s="152"/>
      <c r="S235" s="152"/>
      <c r="T235" s="152"/>
      <c r="U235" s="153"/>
      <c r="V235" s="82"/>
      <c r="W235" s="84"/>
      <c r="X235" s="151">
        <v>13</v>
      </c>
      <c r="Y235" s="152"/>
      <c r="Z235" s="152"/>
      <c r="AA235" s="152"/>
      <c r="AB235" s="153"/>
      <c r="AC235" s="82"/>
      <c r="AD235" s="84"/>
      <c r="AE235" s="151">
        <v>9</v>
      </c>
      <c r="AF235" s="152"/>
      <c r="AG235" s="152"/>
      <c r="AH235" s="152"/>
      <c r="AI235" s="153"/>
      <c r="AJ235" s="82"/>
      <c r="AK235" s="84"/>
      <c r="AL235" s="151">
        <v>0</v>
      </c>
      <c r="AM235" s="152"/>
      <c r="AN235" s="152"/>
      <c r="AO235" s="152"/>
      <c r="AP235" s="153"/>
      <c r="AQ235" s="166"/>
      <c r="AR235" s="166"/>
      <c r="AS235" s="151">
        <v>0</v>
      </c>
      <c r="AT235" s="152"/>
      <c r="AU235" s="152"/>
      <c r="AV235" s="152"/>
      <c r="AW235" s="153"/>
      <c r="AX235" s="166"/>
      <c r="AY235" s="166"/>
      <c r="AZ235" s="151">
        <v>0</v>
      </c>
      <c r="BA235" s="152"/>
      <c r="BB235" s="152"/>
      <c r="BC235" s="152"/>
      <c r="BD235" s="153"/>
      <c r="BE235" s="166"/>
      <c r="BF235" s="166"/>
      <c r="BG235" s="151">
        <v>0</v>
      </c>
      <c r="BH235" s="152"/>
      <c r="BI235" s="152"/>
      <c r="BJ235" s="152"/>
      <c r="BK235" s="153"/>
      <c r="BL235" s="166"/>
      <c r="BM235" s="166"/>
    </row>
    <row r="236" spans="1:85" customHeight="1" ht="13.5">
      <c r="A236" s="4"/>
      <c r="B236" s="126"/>
      <c r="C236" s="144"/>
      <c r="D236" s="144"/>
      <c r="E236" s="145"/>
      <c r="F236" s="167" t="s">
        <v>35</v>
      </c>
      <c r="G236" s="168"/>
      <c r="H236" s="168"/>
      <c r="I236" s="169"/>
      <c r="J236" s="82">
        <v>16</v>
      </c>
      <c r="K236" s="83"/>
      <c r="L236" s="83"/>
      <c r="M236" s="83"/>
      <c r="N236" s="84"/>
      <c r="O236" s="82"/>
      <c r="P236" s="84"/>
      <c r="Q236" s="82">
        <v>10</v>
      </c>
      <c r="R236" s="83"/>
      <c r="S236" s="83"/>
      <c r="T236" s="83"/>
      <c r="U236" s="84"/>
      <c r="V236" s="82"/>
      <c r="W236" s="84"/>
      <c r="X236" s="82">
        <v>10</v>
      </c>
      <c r="Y236" s="83"/>
      <c r="Z236" s="83"/>
      <c r="AA236" s="83"/>
      <c r="AB236" s="84"/>
      <c r="AC236" s="82"/>
      <c r="AD236" s="84"/>
      <c r="AE236" s="82">
        <v>15</v>
      </c>
      <c r="AF236" s="83"/>
      <c r="AG236" s="83"/>
      <c r="AH236" s="83"/>
      <c r="AI236" s="84"/>
      <c r="AJ236" s="82"/>
      <c r="AK236" s="84"/>
      <c r="AL236" s="82">
        <v>0</v>
      </c>
      <c r="AM236" s="83"/>
      <c r="AN236" s="83"/>
      <c r="AO236" s="83"/>
      <c r="AP236" s="84"/>
      <c r="AQ236" s="166"/>
      <c r="AR236" s="166"/>
      <c r="AS236" s="82">
        <v>0</v>
      </c>
      <c r="AT236" s="83"/>
      <c r="AU236" s="83"/>
      <c r="AV236" s="83"/>
      <c r="AW236" s="84"/>
      <c r="AX236" s="166"/>
      <c r="AY236" s="166"/>
      <c r="AZ236" s="82">
        <v>0</v>
      </c>
      <c r="BA236" s="83"/>
      <c r="BB236" s="83"/>
      <c r="BC236" s="83"/>
      <c r="BD236" s="84"/>
      <c r="BE236" s="166"/>
      <c r="BF236" s="166"/>
      <c r="BG236" s="82">
        <v>0</v>
      </c>
      <c r="BH236" s="83"/>
      <c r="BI236" s="83"/>
      <c r="BJ236" s="83"/>
      <c r="BK236" s="84"/>
      <c r="BL236" s="166"/>
      <c r="BM236" s="166"/>
    </row>
    <row r="237" spans="1:85" customHeight="1" ht="13.5">
      <c r="A237" s="4"/>
      <c r="B237" s="131"/>
      <c r="C237" s="146"/>
      <c r="D237" s="146"/>
      <c r="E237" s="147"/>
      <c r="F237" s="167" t="s">
        <v>36</v>
      </c>
      <c r="G237" s="168"/>
      <c r="H237" s="168"/>
      <c r="I237" s="169"/>
      <c r="J237" s="57">
        <f>SUM(J235:N236)</f>
        <v>22</v>
      </c>
      <c r="K237" s="83"/>
      <c r="L237" s="83"/>
      <c r="M237" s="83"/>
      <c r="N237" s="84"/>
      <c r="O237" s="57">
        <f>SUM(O235:P236)</f>
        <v>0</v>
      </c>
      <c r="P237" s="84"/>
      <c r="Q237" s="57">
        <f>SUM(Q235:U236)</f>
        <v>17</v>
      </c>
      <c r="R237" s="83"/>
      <c r="S237" s="83"/>
      <c r="T237" s="83"/>
      <c r="U237" s="84"/>
      <c r="V237" s="57">
        <f>SUM(V235:W236)</f>
        <v>0</v>
      </c>
      <c r="W237" s="84"/>
      <c r="X237" s="57">
        <f>SUM(X235:AB236)</f>
        <v>23</v>
      </c>
      <c r="Y237" s="83"/>
      <c r="Z237" s="83"/>
      <c r="AA237" s="83"/>
      <c r="AB237" s="84"/>
      <c r="AC237" s="57">
        <f>SUM(AC235:AD236)</f>
        <v>0</v>
      </c>
      <c r="AD237" s="84"/>
      <c r="AE237" s="57">
        <f>SUM(AE235:AI236)</f>
        <v>24</v>
      </c>
      <c r="AF237" s="83"/>
      <c r="AG237" s="83"/>
      <c r="AH237" s="83"/>
      <c r="AI237" s="84"/>
      <c r="AJ237" s="57">
        <f>SUM(AJ235:AK236)</f>
        <v>0</v>
      </c>
      <c r="AK237" s="84"/>
      <c r="AL237" s="57">
        <f>SUM(AL235:AP236)</f>
        <v>0</v>
      </c>
      <c r="AM237" s="83"/>
      <c r="AN237" s="83"/>
      <c r="AO237" s="83"/>
      <c r="AP237" s="84"/>
      <c r="AQ237" s="166">
        <f>SUM(AQ235:AR236)</f>
        <v>0</v>
      </c>
      <c r="AR237" s="166"/>
      <c r="AS237" s="57">
        <f>SUM(AS235:AW236)</f>
        <v>0</v>
      </c>
      <c r="AT237" s="83"/>
      <c r="AU237" s="83"/>
      <c r="AV237" s="83"/>
      <c r="AW237" s="84"/>
      <c r="AX237" s="166">
        <f>SUM(AX235:AY236)</f>
        <v>0</v>
      </c>
      <c r="AY237" s="166"/>
      <c r="AZ237" s="57">
        <f>SUM(AZ235:BD236)</f>
        <v>0</v>
      </c>
      <c r="BA237" s="83"/>
      <c r="BB237" s="83"/>
      <c r="BC237" s="83"/>
      <c r="BD237" s="84"/>
      <c r="BE237" s="166">
        <f>SUM(BE235:BF236)</f>
        <v>0</v>
      </c>
      <c r="BF237" s="166"/>
      <c r="BG237" s="57">
        <f>SUM(BG235:BK236)</f>
        <v>0</v>
      </c>
      <c r="BH237" s="83"/>
      <c r="BI237" s="83"/>
      <c r="BJ237" s="83"/>
      <c r="BK237" s="84"/>
      <c r="BL237" s="166">
        <f>SUM(BL235:BM236)</f>
        <v>0</v>
      </c>
      <c r="BM237" s="166"/>
    </row>
    <row r="238" spans="1:85" customHeight="1" ht="13.5">
      <c r="A238" s="4"/>
      <c r="B238" s="134" t="s">
        <v>39</v>
      </c>
      <c r="C238" s="171"/>
      <c r="D238" s="171"/>
      <c r="E238" s="172"/>
      <c r="F238" s="128" t="s">
        <v>34</v>
      </c>
      <c r="G238" s="173"/>
      <c r="H238" s="173"/>
      <c r="I238" s="174"/>
      <c r="J238" s="151">
        <v>0</v>
      </c>
      <c r="K238" s="152"/>
      <c r="L238" s="152"/>
      <c r="M238" s="152"/>
      <c r="N238" s="153"/>
      <c r="O238" s="82"/>
      <c r="P238" s="84"/>
      <c r="Q238" s="151">
        <v>0</v>
      </c>
      <c r="R238" s="152"/>
      <c r="S238" s="152"/>
      <c r="T238" s="152"/>
      <c r="U238" s="153"/>
      <c r="V238" s="82"/>
      <c r="W238" s="84"/>
      <c r="X238" s="151">
        <v>0</v>
      </c>
      <c r="Y238" s="152"/>
      <c r="Z238" s="152"/>
      <c r="AA238" s="152"/>
      <c r="AB238" s="153"/>
      <c r="AC238" s="82"/>
      <c r="AD238" s="84"/>
      <c r="AE238" s="151">
        <v>1</v>
      </c>
      <c r="AF238" s="152"/>
      <c r="AG238" s="152"/>
      <c r="AH238" s="152"/>
      <c r="AI238" s="153"/>
      <c r="AJ238" s="82"/>
      <c r="AK238" s="84"/>
      <c r="AL238" s="151">
        <v>0</v>
      </c>
      <c r="AM238" s="152"/>
      <c r="AN238" s="152"/>
      <c r="AO238" s="152"/>
      <c r="AP238" s="153"/>
      <c r="AQ238" s="166"/>
      <c r="AR238" s="166"/>
      <c r="AS238" s="151">
        <v>0</v>
      </c>
      <c r="AT238" s="152"/>
      <c r="AU238" s="152"/>
      <c r="AV238" s="152"/>
      <c r="AW238" s="153"/>
      <c r="AX238" s="166"/>
      <c r="AY238" s="166"/>
      <c r="AZ238" s="151">
        <v>0</v>
      </c>
      <c r="BA238" s="152"/>
      <c r="BB238" s="152"/>
      <c r="BC238" s="152"/>
      <c r="BD238" s="153"/>
      <c r="BE238" s="166"/>
      <c r="BF238" s="166"/>
      <c r="BG238" s="151">
        <v>0</v>
      </c>
      <c r="BH238" s="152"/>
      <c r="BI238" s="152"/>
      <c r="BJ238" s="152"/>
      <c r="BK238" s="153"/>
      <c r="BL238" s="166"/>
      <c r="BM238" s="166"/>
    </row>
    <row r="239" spans="1:85" customHeight="1" ht="13.5">
      <c r="A239" s="4"/>
      <c r="B239" s="126"/>
      <c r="C239" s="144"/>
      <c r="D239" s="144"/>
      <c r="E239" s="145"/>
      <c r="F239" s="167" t="s">
        <v>35</v>
      </c>
      <c r="G239" s="168"/>
      <c r="H239" s="168"/>
      <c r="I239" s="169"/>
      <c r="J239" s="82">
        <v>1</v>
      </c>
      <c r="K239" s="83"/>
      <c r="L239" s="83"/>
      <c r="M239" s="83"/>
      <c r="N239" s="84"/>
      <c r="O239" s="82"/>
      <c r="P239" s="84"/>
      <c r="Q239" s="82">
        <v>0</v>
      </c>
      <c r="R239" s="83"/>
      <c r="S239" s="83"/>
      <c r="T239" s="83"/>
      <c r="U239" s="84"/>
      <c r="V239" s="82"/>
      <c r="W239" s="84"/>
      <c r="X239" s="82">
        <v>0</v>
      </c>
      <c r="Y239" s="83"/>
      <c r="Z239" s="83"/>
      <c r="AA239" s="83"/>
      <c r="AB239" s="84"/>
      <c r="AC239" s="82"/>
      <c r="AD239" s="84"/>
      <c r="AE239" s="82">
        <v>2</v>
      </c>
      <c r="AF239" s="83"/>
      <c r="AG239" s="83"/>
      <c r="AH239" s="83"/>
      <c r="AI239" s="84"/>
      <c r="AJ239" s="82"/>
      <c r="AK239" s="84"/>
      <c r="AL239" s="82">
        <v>0</v>
      </c>
      <c r="AM239" s="83"/>
      <c r="AN239" s="83"/>
      <c r="AO239" s="83"/>
      <c r="AP239" s="84"/>
      <c r="AQ239" s="166"/>
      <c r="AR239" s="166"/>
      <c r="AS239" s="82">
        <v>0</v>
      </c>
      <c r="AT239" s="83"/>
      <c r="AU239" s="83"/>
      <c r="AV239" s="83"/>
      <c r="AW239" s="84"/>
      <c r="AX239" s="166"/>
      <c r="AY239" s="166"/>
      <c r="AZ239" s="82">
        <v>0</v>
      </c>
      <c r="BA239" s="83"/>
      <c r="BB239" s="83"/>
      <c r="BC239" s="83"/>
      <c r="BD239" s="84"/>
      <c r="BE239" s="166"/>
      <c r="BF239" s="166"/>
      <c r="BG239" s="82">
        <v>0</v>
      </c>
      <c r="BH239" s="83"/>
      <c r="BI239" s="83"/>
      <c r="BJ239" s="83"/>
      <c r="BK239" s="84"/>
      <c r="BL239" s="166"/>
      <c r="BM239" s="166"/>
    </row>
    <row r="240" spans="1:85" customHeight="1" ht="13.5">
      <c r="A240" s="4"/>
      <c r="B240" s="131"/>
      <c r="C240" s="146"/>
      <c r="D240" s="146"/>
      <c r="E240" s="147"/>
      <c r="F240" s="167" t="s">
        <v>36</v>
      </c>
      <c r="G240" s="168"/>
      <c r="H240" s="168"/>
      <c r="I240" s="169"/>
      <c r="J240" s="57">
        <f>SUM(J238:N239)</f>
        <v>1</v>
      </c>
      <c r="K240" s="83"/>
      <c r="L240" s="83"/>
      <c r="M240" s="83"/>
      <c r="N240" s="84"/>
      <c r="O240" s="57">
        <f>SUM(O238:P239)</f>
        <v>0</v>
      </c>
      <c r="P240" s="84"/>
      <c r="Q240" s="57">
        <f>SUM(Q238:U239)</f>
        <v>0</v>
      </c>
      <c r="R240" s="83"/>
      <c r="S240" s="83"/>
      <c r="T240" s="83"/>
      <c r="U240" s="84"/>
      <c r="V240" s="57">
        <f>SUM(V238:W239)</f>
        <v>0</v>
      </c>
      <c r="W240" s="84"/>
      <c r="X240" s="57">
        <f>SUM(X238:AB239)</f>
        <v>0</v>
      </c>
      <c r="Y240" s="83"/>
      <c r="Z240" s="83"/>
      <c r="AA240" s="83"/>
      <c r="AB240" s="84"/>
      <c r="AC240" s="57">
        <f>SUM(AC238:AD239)</f>
        <v>0</v>
      </c>
      <c r="AD240" s="84"/>
      <c r="AE240" s="57">
        <f>SUM(AE238:AI239)</f>
        <v>3</v>
      </c>
      <c r="AF240" s="83"/>
      <c r="AG240" s="83"/>
      <c r="AH240" s="83"/>
      <c r="AI240" s="84"/>
      <c r="AJ240" s="57">
        <f>SUM(AJ238:AK239)</f>
        <v>0</v>
      </c>
      <c r="AK240" s="84"/>
      <c r="AL240" s="57">
        <f>SUM(AL238:AP239)</f>
        <v>0</v>
      </c>
      <c r="AM240" s="83"/>
      <c r="AN240" s="83"/>
      <c r="AO240" s="83"/>
      <c r="AP240" s="84"/>
      <c r="AQ240" s="166">
        <f>SUM(AQ238:AR239)</f>
        <v>0</v>
      </c>
      <c r="AR240" s="166"/>
      <c r="AS240" s="57">
        <f>SUM(AS238:AW239)</f>
        <v>0</v>
      </c>
      <c r="AT240" s="83"/>
      <c r="AU240" s="83"/>
      <c r="AV240" s="83"/>
      <c r="AW240" s="84"/>
      <c r="AX240" s="166">
        <f>SUM(AX238:AY239)</f>
        <v>0</v>
      </c>
      <c r="AY240" s="166"/>
      <c r="AZ240" s="57">
        <f>SUM(AZ238:BD239)</f>
        <v>0</v>
      </c>
      <c r="BA240" s="83"/>
      <c r="BB240" s="83"/>
      <c r="BC240" s="83"/>
      <c r="BD240" s="84"/>
      <c r="BE240" s="166">
        <f>SUM(BE238:BF239)</f>
        <v>0</v>
      </c>
      <c r="BF240" s="166"/>
      <c r="BG240" s="57">
        <f>SUM(BG238:BK239)</f>
        <v>0</v>
      </c>
      <c r="BH240" s="83"/>
      <c r="BI240" s="83"/>
      <c r="BJ240" s="83"/>
      <c r="BK240" s="84"/>
      <c r="BL240" s="166">
        <f>SUM(BL238:BM239)</f>
        <v>0</v>
      </c>
      <c r="BM240" s="166"/>
    </row>
    <row r="241" spans="1:85" customHeight="1" ht="13.5">
      <c r="A241" s="4"/>
      <c r="B241" s="134" t="s">
        <v>40</v>
      </c>
      <c r="C241" s="171"/>
      <c r="D241" s="171"/>
      <c r="E241" s="172"/>
      <c r="F241" s="128" t="s">
        <v>34</v>
      </c>
      <c r="G241" s="173"/>
      <c r="H241" s="173"/>
      <c r="I241" s="174"/>
      <c r="J241" s="151">
        <v>0</v>
      </c>
      <c r="K241" s="152"/>
      <c r="L241" s="152"/>
      <c r="M241" s="152"/>
      <c r="N241" s="153"/>
      <c r="O241" s="82"/>
      <c r="P241" s="84"/>
      <c r="Q241" s="151">
        <v>0</v>
      </c>
      <c r="R241" s="152"/>
      <c r="S241" s="152"/>
      <c r="T241" s="152"/>
      <c r="U241" s="153"/>
      <c r="V241" s="82"/>
      <c r="W241" s="84"/>
      <c r="X241" s="151">
        <v>0</v>
      </c>
      <c r="Y241" s="152"/>
      <c r="Z241" s="152"/>
      <c r="AA241" s="152"/>
      <c r="AB241" s="153"/>
      <c r="AC241" s="82"/>
      <c r="AD241" s="84"/>
      <c r="AE241" s="151">
        <v>0</v>
      </c>
      <c r="AF241" s="152"/>
      <c r="AG241" s="152"/>
      <c r="AH241" s="152"/>
      <c r="AI241" s="153"/>
      <c r="AJ241" s="82"/>
      <c r="AK241" s="84"/>
      <c r="AL241" s="151">
        <v>0</v>
      </c>
      <c r="AM241" s="152"/>
      <c r="AN241" s="152"/>
      <c r="AO241" s="152"/>
      <c r="AP241" s="153"/>
      <c r="AQ241" s="166"/>
      <c r="AR241" s="166"/>
      <c r="AS241" s="151">
        <v>0</v>
      </c>
      <c r="AT241" s="152"/>
      <c r="AU241" s="152"/>
      <c r="AV241" s="152"/>
      <c r="AW241" s="153"/>
      <c r="AX241" s="166"/>
      <c r="AY241" s="166"/>
      <c r="AZ241" s="151">
        <v>0</v>
      </c>
      <c r="BA241" s="152"/>
      <c r="BB241" s="152"/>
      <c r="BC241" s="152"/>
      <c r="BD241" s="153"/>
      <c r="BE241" s="166"/>
      <c r="BF241" s="166"/>
      <c r="BG241" s="151">
        <v>0</v>
      </c>
      <c r="BH241" s="152"/>
      <c r="BI241" s="152"/>
      <c r="BJ241" s="152"/>
      <c r="BK241" s="153"/>
      <c r="BL241" s="166"/>
      <c r="BM241" s="166"/>
    </row>
    <row r="242" spans="1:85" customHeight="1" ht="13.5">
      <c r="A242" s="4"/>
      <c r="B242" s="126"/>
      <c r="C242" s="144"/>
      <c r="D242" s="144"/>
      <c r="E242" s="145"/>
      <c r="F242" s="167" t="s">
        <v>35</v>
      </c>
      <c r="G242" s="168"/>
      <c r="H242" s="168"/>
      <c r="I242" s="169"/>
      <c r="J242" s="82">
        <v>0</v>
      </c>
      <c r="K242" s="83"/>
      <c r="L242" s="83"/>
      <c r="M242" s="83"/>
      <c r="N242" s="84"/>
      <c r="O242" s="82"/>
      <c r="P242" s="84"/>
      <c r="Q242" s="82">
        <v>0</v>
      </c>
      <c r="R242" s="83"/>
      <c r="S242" s="83"/>
      <c r="T242" s="83"/>
      <c r="U242" s="84"/>
      <c r="V242" s="82"/>
      <c r="W242" s="84"/>
      <c r="X242" s="82">
        <v>0</v>
      </c>
      <c r="Y242" s="83"/>
      <c r="Z242" s="83"/>
      <c r="AA242" s="83"/>
      <c r="AB242" s="84"/>
      <c r="AC242" s="82"/>
      <c r="AD242" s="84"/>
      <c r="AE242" s="82">
        <v>0</v>
      </c>
      <c r="AF242" s="83"/>
      <c r="AG242" s="83"/>
      <c r="AH242" s="83"/>
      <c r="AI242" s="84"/>
      <c r="AJ242" s="82"/>
      <c r="AK242" s="84"/>
      <c r="AL242" s="82">
        <v>0</v>
      </c>
      <c r="AM242" s="83"/>
      <c r="AN242" s="83"/>
      <c r="AO242" s="83"/>
      <c r="AP242" s="84"/>
      <c r="AQ242" s="166"/>
      <c r="AR242" s="166"/>
      <c r="AS242" s="82">
        <v>0</v>
      </c>
      <c r="AT242" s="83"/>
      <c r="AU242" s="83"/>
      <c r="AV242" s="83"/>
      <c r="AW242" s="84"/>
      <c r="AX242" s="166"/>
      <c r="AY242" s="166"/>
      <c r="AZ242" s="82">
        <v>0</v>
      </c>
      <c r="BA242" s="83"/>
      <c r="BB242" s="83"/>
      <c r="BC242" s="83"/>
      <c r="BD242" s="84"/>
      <c r="BE242" s="166"/>
      <c r="BF242" s="166"/>
      <c r="BG242" s="82">
        <v>0</v>
      </c>
      <c r="BH242" s="83"/>
      <c r="BI242" s="83"/>
      <c r="BJ242" s="83"/>
      <c r="BK242" s="84"/>
      <c r="BL242" s="166"/>
      <c r="BM242" s="166"/>
    </row>
    <row r="243" spans="1:85" customHeight="1" ht="13.5">
      <c r="A243" s="4"/>
      <c r="B243" s="131"/>
      <c r="C243" s="146"/>
      <c r="D243" s="146"/>
      <c r="E243" s="147"/>
      <c r="F243" s="167" t="s">
        <v>36</v>
      </c>
      <c r="G243" s="168"/>
      <c r="H243" s="168"/>
      <c r="I243" s="169"/>
      <c r="J243" s="57">
        <f>SUM(J241:N242)</f>
        <v>0</v>
      </c>
      <c r="K243" s="83"/>
      <c r="L243" s="83"/>
      <c r="M243" s="83"/>
      <c r="N243" s="84"/>
      <c r="O243" s="57">
        <f>SUM(O241:P242)</f>
        <v>0</v>
      </c>
      <c r="P243" s="84"/>
      <c r="Q243" s="57">
        <f>SUM(Q241:U242)</f>
        <v>0</v>
      </c>
      <c r="R243" s="83"/>
      <c r="S243" s="83"/>
      <c r="T243" s="83"/>
      <c r="U243" s="84"/>
      <c r="V243" s="57">
        <f>SUM(V241:W242)</f>
        <v>0</v>
      </c>
      <c r="W243" s="84"/>
      <c r="X243" s="57">
        <f>SUM(X241:AB242)</f>
        <v>0</v>
      </c>
      <c r="Y243" s="83"/>
      <c r="Z243" s="83"/>
      <c r="AA243" s="83"/>
      <c r="AB243" s="84"/>
      <c r="AC243" s="57">
        <f>SUM(AC241:AD242)</f>
        <v>0</v>
      </c>
      <c r="AD243" s="84"/>
      <c r="AE243" s="57">
        <f>SUM(AE241:AI242)</f>
        <v>0</v>
      </c>
      <c r="AF243" s="83"/>
      <c r="AG243" s="83"/>
      <c r="AH243" s="83"/>
      <c r="AI243" s="84"/>
      <c r="AJ243" s="57">
        <f>SUM(AJ241:AK242)</f>
        <v>0</v>
      </c>
      <c r="AK243" s="84"/>
      <c r="AL243" s="57">
        <f>SUM(AL241:AP242)</f>
        <v>0</v>
      </c>
      <c r="AM243" s="83"/>
      <c r="AN243" s="83"/>
      <c r="AO243" s="83"/>
      <c r="AP243" s="84"/>
      <c r="AQ243" s="166">
        <f>SUM(AQ241:AR242)</f>
        <v>0</v>
      </c>
      <c r="AR243" s="166"/>
      <c r="AS243" s="57">
        <f>SUM(AS241:AW242)</f>
        <v>0</v>
      </c>
      <c r="AT243" s="83"/>
      <c r="AU243" s="83"/>
      <c r="AV243" s="83"/>
      <c r="AW243" s="84"/>
      <c r="AX243" s="166">
        <f>SUM(AX241:AY242)</f>
        <v>0</v>
      </c>
      <c r="AY243" s="166"/>
      <c r="AZ243" s="57">
        <f>SUM(AZ241:BD242)</f>
        <v>0</v>
      </c>
      <c r="BA243" s="83"/>
      <c r="BB243" s="83"/>
      <c r="BC243" s="83"/>
      <c r="BD243" s="84"/>
      <c r="BE243" s="166">
        <f>SUM(BE241:BF242)</f>
        <v>0</v>
      </c>
      <c r="BF243" s="166"/>
      <c r="BG243" s="57">
        <f>SUM(BG241:BK242)</f>
        <v>0</v>
      </c>
      <c r="BH243" s="83"/>
      <c r="BI243" s="83"/>
      <c r="BJ243" s="83"/>
      <c r="BK243" s="84"/>
      <c r="BL243" s="166">
        <f>SUM(BL241:BM242)</f>
        <v>0</v>
      </c>
      <c r="BM243" s="166"/>
    </row>
    <row r="244" spans="1:85" customHeight="1" ht="13.5">
      <c r="A244" s="4"/>
      <c r="B244" s="134" t="s">
        <v>41</v>
      </c>
      <c r="C244" s="171"/>
      <c r="D244" s="171"/>
      <c r="E244" s="172"/>
      <c r="F244" s="128" t="s">
        <v>34</v>
      </c>
      <c r="G244" s="173"/>
      <c r="H244" s="173"/>
      <c r="I244" s="174"/>
      <c r="J244" s="151">
        <v>0</v>
      </c>
      <c r="K244" s="152"/>
      <c r="L244" s="152"/>
      <c r="M244" s="152"/>
      <c r="N244" s="153"/>
      <c r="O244" s="82"/>
      <c r="P244" s="84"/>
      <c r="Q244" s="151">
        <v>0</v>
      </c>
      <c r="R244" s="152"/>
      <c r="S244" s="152"/>
      <c r="T244" s="152"/>
      <c r="U244" s="153"/>
      <c r="V244" s="82"/>
      <c r="W244" s="84"/>
      <c r="X244" s="151">
        <v>0</v>
      </c>
      <c r="Y244" s="152"/>
      <c r="Z244" s="152"/>
      <c r="AA244" s="152"/>
      <c r="AB244" s="153"/>
      <c r="AC244" s="82"/>
      <c r="AD244" s="84"/>
      <c r="AE244" s="151">
        <v>0</v>
      </c>
      <c r="AF244" s="152"/>
      <c r="AG244" s="152"/>
      <c r="AH244" s="152"/>
      <c r="AI244" s="153"/>
      <c r="AJ244" s="82"/>
      <c r="AK244" s="84"/>
      <c r="AL244" s="151">
        <v>0</v>
      </c>
      <c r="AM244" s="152"/>
      <c r="AN244" s="152"/>
      <c r="AO244" s="152"/>
      <c r="AP244" s="153"/>
      <c r="AQ244" s="166"/>
      <c r="AR244" s="166"/>
      <c r="AS244" s="151">
        <v>0</v>
      </c>
      <c r="AT244" s="152"/>
      <c r="AU244" s="152"/>
      <c r="AV244" s="152"/>
      <c r="AW244" s="153"/>
      <c r="AX244" s="166"/>
      <c r="AY244" s="166"/>
      <c r="AZ244" s="151">
        <v>0</v>
      </c>
      <c r="BA244" s="152"/>
      <c r="BB244" s="152"/>
      <c r="BC244" s="152"/>
      <c r="BD244" s="153"/>
      <c r="BE244" s="166"/>
      <c r="BF244" s="166"/>
      <c r="BG244" s="151">
        <v>0</v>
      </c>
      <c r="BH244" s="152"/>
      <c r="BI244" s="152"/>
      <c r="BJ244" s="152"/>
      <c r="BK244" s="153"/>
      <c r="BL244" s="166"/>
      <c r="BM244" s="166"/>
    </row>
    <row r="245" spans="1:85" customHeight="1" ht="13.5">
      <c r="A245" s="4"/>
      <c r="B245" s="126"/>
      <c r="C245" s="144"/>
      <c r="D245" s="144"/>
      <c r="E245" s="145"/>
      <c r="F245" s="167" t="s">
        <v>35</v>
      </c>
      <c r="G245" s="168"/>
      <c r="H245" s="168"/>
      <c r="I245" s="169"/>
      <c r="J245" s="82">
        <v>0</v>
      </c>
      <c r="K245" s="83"/>
      <c r="L245" s="83"/>
      <c r="M245" s="83"/>
      <c r="N245" s="84"/>
      <c r="O245" s="82"/>
      <c r="P245" s="84"/>
      <c r="Q245" s="82">
        <v>0</v>
      </c>
      <c r="R245" s="83"/>
      <c r="S245" s="83"/>
      <c r="T245" s="83"/>
      <c r="U245" s="84"/>
      <c r="V245" s="82"/>
      <c r="W245" s="84"/>
      <c r="X245" s="82">
        <v>0</v>
      </c>
      <c r="Y245" s="83"/>
      <c r="Z245" s="83"/>
      <c r="AA245" s="83"/>
      <c r="AB245" s="84"/>
      <c r="AC245" s="82"/>
      <c r="AD245" s="84"/>
      <c r="AE245" s="82">
        <v>0</v>
      </c>
      <c r="AF245" s="83"/>
      <c r="AG245" s="83"/>
      <c r="AH245" s="83"/>
      <c r="AI245" s="84"/>
      <c r="AJ245" s="82"/>
      <c r="AK245" s="84"/>
      <c r="AL245" s="82">
        <v>0</v>
      </c>
      <c r="AM245" s="83"/>
      <c r="AN245" s="83"/>
      <c r="AO245" s="83"/>
      <c r="AP245" s="84"/>
      <c r="AQ245" s="166"/>
      <c r="AR245" s="166"/>
      <c r="AS245" s="82">
        <v>0</v>
      </c>
      <c r="AT245" s="83"/>
      <c r="AU245" s="83"/>
      <c r="AV245" s="83"/>
      <c r="AW245" s="84"/>
      <c r="AX245" s="166"/>
      <c r="AY245" s="166"/>
      <c r="AZ245" s="82">
        <v>0</v>
      </c>
      <c r="BA245" s="83"/>
      <c r="BB245" s="83"/>
      <c r="BC245" s="83"/>
      <c r="BD245" s="84"/>
      <c r="BE245" s="166"/>
      <c r="BF245" s="166"/>
      <c r="BG245" s="82">
        <v>0</v>
      </c>
      <c r="BH245" s="83"/>
      <c r="BI245" s="83"/>
      <c r="BJ245" s="83"/>
      <c r="BK245" s="84"/>
      <c r="BL245" s="166"/>
      <c r="BM245" s="166"/>
    </row>
    <row r="246" spans="1:85" customHeight="1" ht="13.5">
      <c r="A246" s="4"/>
      <c r="B246" s="131"/>
      <c r="C246" s="146"/>
      <c r="D246" s="146"/>
      <c r="E246" s="147"/>
      <c r="F246" s="167" t="s">
        <v>36</v>
      </c>
      <c r="G246" s="168"/>
      <c r="H246" s="168"/>
      <c r="I246" s="169"/>
      <c r="J246" s="57">
        <f>SUM(J244:N245)</f>
        <v>0</v>
      </c>
      <c r="K246" s="83"/>
      <c r="L246" s="83"/>
      <c r="M246" s="83"/>
      <c r="N246" s="84"/>
      <c r="O246" s="57">
        <f>SUM(O244:P245)</f>
        <v>0</v>
      </c>
      <c r="P246" s="84"/>
      <c r="Q246" s="57">
        <f>SUM(Q244:U245)</f>
        <v>0</v>
      </c>
      <c r="R246" s="83"/>
      <c r="S246" s="83"/>
      <c r="T246" s="83"/>
      <c r="U246" s="84"/>
      <c r="V246" s="57">
        <f>SUM(V244:W245)</f>
        <v>0</v>
      </c>
      <c r="W246" s="84"/>
      <c r="X246" s="57">
        <f>SUM(X244:AB245)</f>
        <v>0</v>
      </c>
      <c r="Y246" s="83"/>
      <c r="Z246" s="83"/>
      <c r="AA246" s="83"/>
      <c r="AB246" s="84"/>
      <c r="AC246" s="57">
        <f>SUM(AC244:AD245)</f>
        <v>0</v>
      </c>
      <c r="AD246" s="84"/>
      <c r="AE246" s="57">
        <f>SUM(AE244:AI245)</f>
        <v>0</v>
      </c>
      <c r="AF246" s="83"/>
      <c r="AG246" s="83"/>
      <c r="AH246" s="83"/>
      <c r="AI246" s="84"/>
      <c r="AJ246" s="57">
        <f>SUM(AJ244:AK245)</f>
        <v>0</v>
      </c>
      <c r="AK246" s="84"/>
      <c r="AL246" s="57">
        <f>SUM(AL244:AP245)</f>
        <v>0</v>
      </c>
      <c r="AM246" s="83"/>
      <c r="AN246" s="83"/>
      <c r="AO246" s="83"/>
      <c r="AP246" s="84"/>
      <c r="AQ246" s="166">
        <f>SUM(AQ244:AR245)</f>
        <v>0</v>
      </c>
      <c r="AR246" s="166"/>
      <c r="AS246" s="57">
        <f>SUM(AS244:AW245)</f>
        <v>0</v>
      </c>
      <c r="AT246" s="83"/>
      <c r="AU246" s="83"/>
      <c r="AV246" s="83"/>
      <c r="AW246" s="84"/>
      <c r="AX246" s="166">
        <f>SUM(AX244:AY245)</f>
        <v>0</v>
      </c>
      <c r="AY246" s="166"/>
      <c r="AZ246" s="57">
        <f>SUM(AZ244:BD245)</f>
        <v>0</v>
      </c>
      <c r="BA246" s="83"/>
      <c r="BB246" s="83"/>
      <c r="BC246" s="83"/>
      <c r="BD246" s="84"/>
      <c r="BE246" s="166">
        <f>SUM(BE244:BF245)</f>
        <v>0</v>
      </c>
      <c r="BF246" s="166"/>
      <c r="BG246" s="57">
        <f>SUM(BG244:BK245)</f>
        <v>0</v>
      </c>
      <c r="BH246" s="83"/>
      <c r="BI246" s="83"/>
      <c r="BJ246" s="83"/>
      <c r="BK246" s="84"/>
      <c r="BL246" s="166">
        <f>SUM(BL244:BM245)</f>
        <v>0</v>
      </c>
      <c r="BM246" s="166"/>
    </row>
    <row r="247" spans="1:85" customHeight="1" ht="13.5">
      <c r="A247" s="4"/>
      <c r="B247" s="134" t="s">
        <v>42</v>
      </c>
      <c r="C247" s="171"/>
      <c r="D247" s="171"/>
      <c r="E247" s="172"/>
      <c r="F247" s="128" t="s">
        <v>34</v>
      </c>
      <c r="G247" s="173"/>
      <c r="H247" s="173"/>
      <c r="I247" s="174"/>
      <c r="J247" s="151">
        <v>0</v>
      </c>
      <c r="K247" s="152"/>
      <c r="L247" s="152"/>
      <c r="M247" s="152"/>
      <c r="N247" s="153"/>
      <c r="O247" s="82"/>
      <c r="P247" s="84"/>
      <c r="Q247" s="151">
        <v>0</v>
      </c>
      <c r="R247" s="152"/>
      <c r="S247" s="152"/>
      <c r="T247" s="152"/>
      <c r="U247" s="153"/>
      <c r="V247" s="82"/>
      <c r="W247" s="84"/>
      <c r="X247" s="151">
        <v>0</v>
      </c>
      <c r="Y247" s="152"/>
      <c r="Z247" s="152"/>
      <c r="AA247" s="152"/>
      <c r="AB247" s="153"/>
      <c r="AC247" s="82"/>
      <c r="AD247" s="84"/>
      <c r="AE247" s="151">
        <v>0</v>
      </c>
      <c r="AF247" s="152"/>
      <c r="AG247" s="152"/>
      <c r="AH247" s="152"/>
      <c r="AI247" s="153"/>
      <c r="AJ247" s="82"/>
      <c r="AK247" s="84"/>
      <c r="AL247" s="151">
        <v>0</v>
      </c>
      <c r="AM247" s="152"/>
      <c r="AN247" s="152"/>
      <c r="AO247" s="152"/>
      <c r="AP247" s="153"/>
      <c r="AQ247" s="166"/>
      <c r="AR247" s="166"/>
      <c r="AS247" s="151">
        <v>0</v>
      </c>
      <c r="AT247" s="152"/>
      <c r="AU247" s="152"/>
      <c r="AV247" s="152"/>
      <c r="AW247" s="153"/>
      <c r="AX247" s="166"/>
      <c r="AY247" s="166"/>
      <c r="AZ247" s="151">
        <v>0</v>
      </c>
      <c r="BA247" s="152"/>
      <c r="BB247" s="152"/>
      <c r="BC247" s="152"/>
      <c r="BD247" s="153"/>
      <c r="BE247" s="166"/>
      <c r="BF247" s="166"/>
      <c r="BG247" s="151">
        <v>0</v>
      </c>
      <c r="BH247" s="152"/>
      <c r="BI247" s="152"/>
      <c r="BJ247" s="152"/>
      <c r="BK247" s="153"/>
      <c r="BL247" s="166"/>
      <c r="BM247" s="166"/>
    </row>
    <row r="248" spans="1:85" customHeight="1" ht="13.5">
      <c r="A248" s="4"/>
      <c r="B248" s="126"/>
      <c r="C248" s="144"/>
      <c r="D248" s="144"/>
      <c r="E248" s="145"/>
      <c r="F248" s="167" t="s">
        <v>35</v>
      </c>
      <c r="G248" s="168"/>
      <c r="H248" s="168"/>
      <c r="I248" s="169"/>
      <c r="J248" s="82">
        <v>0</v>
      </c>
      <c r="K248" s="83"/>
      <c r="L248" s="83"/>
      <c r="M248" s="83"/>
      <c r="N248" s="84"/>
      <c r="O248" s="82"/>
      <c r="P248" s="84"/>
      <c r="Q248" s="82">
        <v>0</v>
      </c>
      <c r="R248" s="83"/>
      <c r="S248" s="83"/>
      <c r="T248" s="83"/>
      <c r="U248" s="84"/>
      <c r="V248" s="82"/>
      <c r="W248" s="84"/>
      <c r="X248" s="82">
        <v>0</v>
      </c>
      <c r="Y248" s="83"/>
      <c r="Z248" s="83"/>
      <c r="AA248" s="83"/>
      <c r="AB248" s="84"/>
      <c r="AC248" s="82"/>
      <c r="AD248" s="84"/>
      <c r="AE248" s="82">
        <v>0</v>
      </c>
      <c r="AF248" s="83"/>
      <c r="AG248" s="83"/>
      <c r="AH248" s="83"/>
      <c r="AI248" s="84"/>
      <c r="AJ248" s="82"/>
      <c r="AK248" s="84"/>
      <c r="AL248" s="82">
        <v>0</v>
      </c>
      <c r="AM248" s="83"/>
      <c r="AN248" s="83"/>
      <c r="AO248" s="83"/>
      <c r="AP248" s="84"/>
      <c r="AQ248" s="166"/>
      <c r="AR248" s="166"/>
      <c r="AS248" s="82">
        <v>0</v>
      </c>
      <c r="AT248" s="83"/>
      <c r="AU248" s="83"/>
      <c r="AV248" s="83"/>
      <c r="AW248" s="84"/>
      <c r="AX248" s="166"/>
      <c r="AY248" s="166"/>
      <c r="AZ248" s="82">
        <v>0</v>
      </c>
      <c r="BA248" s="83"/>
      <c r="BB248" s="83"/>
      <c r="BC248" s="83"/>
      <c r="BD248" s="84"/>
      <c r="BE248" s="166"/>
      <c r="BF248" s="166"/>
      <c r="BG248" s="82">
        <v>0</v>
      </c>
      <c r="BH248" s="83"/>
      <c r="BI248" s="83"/>
      <c r="BJ248" s="83"/>
      <c r="BK248" s="84"/>
      <c r="BL248" s="166"/>
      <c r="BM248" s="166"/>
    </row>
    <row r="249" spans="1:85" customHeight="1" ht="13.5">
      <c r="A249" s="4"/>
      <c r="B249" s="131"/>
      <c r="C249" s="146"/>
      <c r="D249" s="146"/>
      <c r="E249" s="147"/>
      <c r="F249" s="167" t="s">
        <v>36</v>
      </c>
      <c r="G249" s="168"/>
      <c r="H249" s="168"/>
      <c r="I249" s="169"/>
      <c r="J249" s="57">
        <f>SUM(J247:N248)</f>
        <v>0</v>
      </c>
      <c r="K249" s="83"/>
      <c r="L249" s="83"/>
      <c r="M249" s="83"/>
      <c r="N249" s="84"/>
      <c r="O249" s="57">
        <f>SUM(O247:P248)</f>
        <v>0</v>
      </c>
      <c r="P249" s="84"/>
      <c r="Q249" s="57">
        <f>SUM(Q247:U248)</f>
        <v>0</v>
      </c>
      <c r="R249" s="83"/>
      <c r="S249" s="83"/>
      <c r="T249" s="83"/>
      <c r="U249" s="84"/>
      <c r="V249" s="57">
        <f>SUM(V247:W248)</f>
        <v>0</v>
      </c>
      <c r="W249" s="84"/>
      <c r="X249" s="57">
        <f>SUM(X247:AB248)</f>
        <v>0</v>
      </c>
      <c r="Y249" s="83"/>
      <c r="Z249" s="83"/>
      <c r="AA249" s="83"/>
      <c r="AB249" s="84"/>
      <c r="AC249" s="57">
        <f>SUM(AC247:AD248)</f>
        <v>0</v>
      </c>
      <c r="AD249" s="84"/>
      <c r="AE249" s="57">
        <f>SUM(AE247:AI248)</f>
        <v>0</v>
      </c>
      <c r="AF249" s="83"/>
      <c r="AG249" s="83"/>
      <c r="AH249" s="83"/>
      <c r="AI249" s="84"/>
      <c r="AJ249" s="57">
        <f>SUM(AJ247:AK248)</f>
        <v>0</v>
      </c>
      <c r="AK249" s="84"/>
      <c r="AL249" s="57">
        <f>SUM(AL247:AP248)</f>
        <v>0</v>
      </c>
      <c r="AM249" s="83"/>
      <c r="AN249" s="83"/>
      <c r="AO249" s="83"/>
      <c r="AP249" s="84"/>
      <c r="AQ249" s="166">
        <f>SUM(AQ247:AR248)</f>
        <v>0</v>
      </c>
      <c r="AR249" s="166"/>
      <c r="AS249" s="57">
        <f>SUM(AS247:AW248)</f>
        <v>0</v>
      </c>
      <c r="AT249" s="83"/>
      <c r="AU249" s="83"/>
      <c r="AV249" s="83"/>
      <c r="AW249" s="84"/>
      <c r="AX249" s="166">
        <f>SUM(AX247:AY248)</f>
        <v>0</v>
      </c>
      <c r="AY249" s="166"/>
      <c r="AZ249" s="57">
        <f>SUM(AZ247:BD248)</f>
        <v>0</v>
      </c>
      <c r="BA249" s="83"/>
      <c r="BB249" s="83"/>
      <c r="BC249" s="83"/>
      <c r="BD249" s="84"/>
      <c r="BE249" s="166">
        <f>SUM(BE247:BF248)</f>
        <v>0</v>
      </c>
      <c r="BF249" s="166"/>
      <c r="BG249" s="57">
        <f>SUM(BG247:BK248)</f>
        <v>0</v>
      </c>
      <c r="BH249" s="83"/>
      <c r="BI249" s="83"/>
      <c r="BJ249" s="83"/>
      <c r="BK249" s="84"/>
      <c r="BL249" s="166">
        <f>SUM(BL247:BM248)</f>
        <v>0</v>
      </c>
      <c r="BM249" s="166"/>
    </row>
    <row r="250" spans="1:85" customHeight="1" ht="13.5">
      <c r="A250" s="4"/>
      <c r="B250" s="134" t="s">
        <v>43</v>
      </c>
      <c r="C250" s="171"/>
      <c r="D250" s="171"/>
      <c r="E250" s="172"/>
      <c r="F250" s="128" t="s">
        <v>34</v>
      </c>
      <c r="G250" s="173"/>
      <c r="H250" s="173"/>
      <c r="I250" s="174"/>
      <c r="J250" s="151">
        <v>0</v>
      </c>
      <c r="K250" s="152"/>
      <c r="L250" s="152"/>
      <c r="M250" s="152"/>
      <c r="N250" s="153"/>
      <c r="O250" s="82"/>
      <c r="P250" s="84"/>
      <c r="Q250" s="151">
        <v>0</v>
      </c>
      <c r="R250" s="152"/>
      <c r="S250" s="152"/>
      <c r="T250" s="152"/>
      <c r="U250" s="153"/>
      <c r="V250" s="82"/>
      <c r="W250" s="84"/>
      <c r="X250" s="151">
        <v>0</v>
      </c>
      <c r="Y250" s="152"/>
      <c r="Z250" s="152"/>
      <c r="AA250" s="152"/>
      <c r="AB250" s="153"/>
      <c r="AC250" s="82"/>
      <c r="AD250" s="84"/>
      <c r="AE250" s="151">
        <v>0</v>
      </c>
      <c r="AF250" s="152"/>
      <c r="AG250" s="152"/>
      <c r="AH250" s="152"/>
      <c r="AI250" s="153"/>
      <c r="AJ250" s="82"/>
      <c r="AK250" s="84"/>
      <c r="AL250" s="151">
        <v>0</v>
      </c>
      <c r="AM250" s="152"/>
      <c r="AN250" s="152"/>
      <c r="AO250" s="152"/>
      <c r="AP250" s="153"/>
      <c r="AQ250" s="166"/>
      <c r="AR250" s="166"/>
      <c r="AS250" s="151">
        <v>0</v>
      </c>
      <c r="AT250" s="152"/>
      <c r="AU250" s="152"/>
      <c r="AV250" s="152"/>
      <c r="AW250" s="153"/>
      <c r="AX250" s="166"/>
      <c r="AY250" s="166"/>
      <c r="AZ250" s="151">
        <v>0</v>
      </c>
      <c r="BA250" s="152"/>
      <c r="BB250" s="152"/>
      <c r="BC250" s="152"/>
      <c r="BD250" s="153"/>
      <c r="BE250" s="166"/>
      <c r="BF250" s="166"/>
      <c r="BG250" s="151">
        <v>0</v>
      </c>
      <c r="BH250" s="152"/>
      <c r="BI250" s="152"/>
      <c r="BJ250" s="152"/>
      <c r="BK250" s="153"/>
      <c r="BL250" s="166"/>
      <c r="BM250" s="166"/>
    </row>
    <row r="251" spans="1:85" customHeight="1" ht="13.5">
      <c r="A251" s="4"/>
      <c r="B251" s="126"/>
      <c r="C251" s="144"/>
      <c r="D251" s="144"/>
      <c r="E251" s="145"/>
      <c r="F251" s="167" t="s">
        <v>35</v>
      </c>
      <c r="G251" s="168"/>
      <c r="H251" s="168"/>
      <c r="I251" s="169"/>
      <c r="J251" s="82">
        <v>0</v>
      </c>
      <c r="K251" s="83"/>
      <c r="L251" s="83"/>
      <c r="M251" s="83"/>
      <c r="N251" s="84"/>
      <c r="O251" s="82"/>
      <c r="P251" s="84"/>
      <c r="Q251" s="82">
        <v>0</v>
      </c>
      <c r="R251" s="83"/>
      <c r="S251" s="83"/>
      <c r="T251" s="83"/>
      <c r="U251" s="84"/>
      <c r="V251" s="82"/>
      <c r="W251" s="84"/>
      <c r="X251" s="82">
        <v>0</v>
      </c>
      <c r="Y251" s="83"/>
      <c r="Z251" s="83"/>
      <c r="AA251" s="83"/>
      <c r="AB251" s="84"/>
      <c r="AC251" s="82"/>
      <c r="AD251" s="84"/>
      <c r="AE251" s="82">
        <v>0</v>
      </c>
      <c r="AF251" s="83"/>
      <c r="AG251" s="83"/>
      <c r="AH251" s="83"/>
      <c r="AI251" s="84"/>
      <c r="AJ251" s="82"/>
      <c r="AK251" s="84"/>
      <c r="AL251" s="82">
        <v>0</v>
      </c>
      <c r="AM251" s="83"/>
      <c r="AN251" s="83"/>
      <c r="AO251" s="83"/>
      <c r="AP251" s="84"/>
      <c r="AQ251" s="166"/>
      <c r="AR251" s="166"/>
      <c r="AS251" s="82">
        <v>0</v>
      </c>
      <c r="AT251" s="83"/>
      <c r="AU251" s="83"/>
      <c r="AV251" s="83"/>
      <c r="AW251" s="84"/>
      <c r="AX251" s="166"/>
      <c r="AY251" s="166"/>
      <c r="AZ251" s="82">
        <v>0</v>
      </c>
      <c r="BA251" s="83"/>
      <c r="BB251" s="83"/>
      <c r="BC251" s="83"/>
      <c r="BD251" s="84"/>
      <c r="BE251" s="166"/>
      <c r="BF251" s="166"/>
      <c r="BG251" s="82">
        <v>0</v>
      </c>
      <c r="BH251" s="83"/>
      <c r="BI251" s="83"/>
      <c r="BJ251" s="83"/>
      <c r="BK251" s="84"/>
      <c r="BL251" s="166"/>
      <c r="BM251" s="166"/>
    </row>
    <row r="252" spans="1:85" customHeight="1" ht="13.5">
      <c r="A252" s="4"/>
      <c r="B252" s="131"/>
      <c r="C252" s="146"/>
      <c r="D252" s="146"/>
      <c r="E252" s="147"/>
      <c r="F252" s="167" t="s">
        <v>36</v>
      </c>
      <c r="G252" s="168"/>
      <c r="H252" s="168"/>
      <c r="I252" s="169"/>
      <c r="J252" s="57">
        <f>SUM(J250:N251)</f>
        <v>0</v>
      </c>
      <c r="K252" s="83"/>
      <c r="L252" s="83"/>
      <c r="M252" s="83"/>
      <c r="N252" s="84"/>
      <c r="O252" s="57">
        <f>SUM(O250:P251)</f>
        <v>0</v>
      </c>
      <c r="P252" s="84"/>
      <c r="Q252" s="57">
        <f>SUM(Q250:U251)</f>
        <v>0</v>
      </c>
      <c r="R252" s="83"/>
      <c r="S252" s="83"/>
      <c r="T252" s="83"/>
      <c r="U252" s="84"/>
      <c r="V252" s="57">
        <f>SUM(V250:W251)</f>
        <v>0</v>
      </c>
      <c r="W252" s="84"/>
      <c r="X252" s="57">
        <f>SUM(X250:AB251)</f>
        <v>0</v>
      </c>
      <c r="Y252" s="83"/>
      <c r="Z252" s="83"/>
      <c r="AA252" s="83"/>
      <c r="AB252" s="84"/>
      <c r="AC252" s="57">
        <f>SUM(AC250:AD251)</f>
        <v>0</v>
      </c>
      <c r="AD252" s="84"/>
      <c r="AE252" s="57">
        <f>SUM(AE250:AI251)</f>
        <v>0</v>
      </c>
      <c r="AF252" s="83"/>
      <c r="AG252" s="83"/>
      <c r="AH252" s="83"/>
      <c r="AI252" s="84"/>
      <c r="AJ252" s="57">
        <f>SUM(AJ250:AK251)</f>
        <v>0</v>
      </c>
      <c r="AK252" s="84"/>
      <c r="AL252" s="57">
        <f>SUM(AL250:AP251)</f>
        <v>0</v>
      </c>
      <c r="AM252" s="83"/>
      <c r="AN252" s="83"/>
      <c r="AO252" s="83"/>
      <c r="AP252" s="84"/>
      <c r="AQ252" s="166">
        <f>SUM(AQ250:AR251)</f>
        <v>0</v>
      </c>
      <c r="AR252" s="166"/>
      <c r="AS252" s="57">
        <f>SUM(AS250:AW251)</f>
        <v>0</v>
      </c>
      <c r="AT252" s="83"/>
      <c r="AU252" s="83"/>
      <c r="AV252" s="83"/>
      <c r="AW252" s="84"/>
      <c r="AX252" s="166">
        <f>SUM(AX250:AY251)</f>
        <v>0</v>
      </c>
      <c r="AY252" s="166"/>
      <c r="AZ252" s="57">
        <f>SUM(AZ250:BD251)</f>
        <v>0</v>
      </c>
      <c r="BA252" s="83"/>
      <c r="BB252" s="83"/>
      <c r="BC252" s="83"/>
      <c r="BD252" s="84"/>
      <c r="BE252" s="166">
        <f>SUM(BE250:BF251)</f>
        <v>0</v>
      </c>
      <c r="BF252" s="166"/>
      <c r="BG252" s="57">
        <f>SUM(BG250:BK251)</f>
        <v>0</v>
      </c>
      <c r="BH252" s="83"/>
      <c r="BI252" s="83"/>
      <c r="BJ252" s="83"/>
      <c r="BK252" s="84"/>
      <c r="BL252" s="166">
        <f>SUM(BL250:BM251)</f>
        <v>0</v>
      </c>
      <c r="BM252" s="166"/>
    </row>
    <row r="253" spans="1:85" customHeight="1" ht="13.5">
      <c r="A253" s="4"/>
      <c r="B253" s="134" t="s">
        <v>44</v>
      </c>
      <c r="C253" s="171"/>
      <c r="D253" s="171"/>
      <c r="E253" s="172"/>
      <c r="F253" s="128" t="s">
        <v>34</v>
      </c>
      <c r="G253" s="173"/>
      <c r="H253" s="173"/>
      <c r="I253" s="174"/>
      <c r="J253" s="151">
        <v>0</v>
      </c>
      <c r="K253" s="152"/>
      <c r="L253" s="152"/>
      <c r="M253" s="152"/>
      <c r="N253" s="153"/>
      <c r="O253" s="82"/>
      <c r="P253" s="84"/>
      <c r="Q253" s="151">
        <v>0</v>
      </c>
      <c r="R253" s="152"/>
      <c r="S253" s="152"/>
      <c r="T253" s="152"/>
      <c r="U253" s="153"/>
      <c r="V253" s="82"/>
      <c r="W253" s="84"/>
      <c r="X253" s="151">
        <v>0</v>
      </c>
      <c r="Y253" s="152"/>
      <c r="Z253" s="152"/>
      <c r="AA253" s="152"/>
      <c r="AB253" s="153"/>
      <c r="AC253" s="82"/>
      <c r="AD253" s="84"/>
      <c r="AE253" s="151">
        <v>0</v>
      </c>
      <c r="AF253" s="152"/>
      <c r="AG253" s="152"/>
      <c r="AH253" s="152"/>
      <c r="AI253" s="153"/>
      <c r="AJ253" s="82"/>
      <c r="AK253" s="84"/>
      <c r="AL253" s="151">
        <v>0</v>
      </c>
      <c r="AM253" s="152"/>
      <c r="AN253" s="152"/>
      <c r="AO253" s="152"/>
      <c r="AP253" s="153"/>
      <c r="AQ253" s="166"/>
      <c r="AR253" s="166"/>
      <c r="AS253" s="151">
        <v>0</v>
      </c>
      <c r="AT253" s="152"/>
      <c r="AU253" s="152"/>
      <c r="AV253" s="152"/>
      <c r="AW253" s="153"/>
      <c r="AX253" s="166"/>
      <c r="AY253" s="166"/>
      <c r="AZ253" s="151">
        <v>0</v>
      </c>
      <c r="BA253" s="152"/>
      <c r="BB253" s="152"/>
      <c r="BC253" s="152"/>
      <c r="BD253" s="153"/>
      <c r="BE253" s="166"/>
      <c r="BF253" s="166"/>
      <c r="BG253" s="151">
        <v>0</v>
      </c>
      <c r="BH253" s="152"/>
      <c r="BI253" s="152"/>
      <c r="BJ253" s="152"/>
      <c r="BK253" s="153"/>
      <c r="BL253" s="166"/>
      <c r="BM253" s="166"/>
    </row>
    <row r="254" spans="1:85" customHeight="1" ht="13.5">
      <c r="A254" s="4"/>
      <c r="B254" s="126"/>
      <c r="C254" s="144"/>
      <c r="D254" s="144"/>
      <c r="E254" s="145"/>
      <c r="F254" s="167" t="s">
        <v>35</v>
      </c>
      <c r="G254" s="168"/>
      <c r="H254" s="168"/>
      <c r="I254" s="169"/>
      <c r="J254" s="82">
        <v>0</v>
      </c>
      <c r="K254" s="83"/>
      <c r="L254" s="83"/>
      <c r="M254" s="83"/>
      <c r="N254" s="84"/>
      <c r="O254" s="82"/>
      <c r="P254" s="84"/>
      <c r="Q254" s="82">
        <v>0</v>
      </c>
      <c r="R254" s="83"/>
      <c r="S254" s="83"/>
      <c r="T254" s="83"/>
      <c r="U254" s="84"/>
      <c r="V254" s="82"/>
      <c r="W254" s="84"/>
      <c r="X254" s="82">
        <v>0</v>
      </c>
      <c r="Y254" s="83"/>
      <c r="Z254" s="83"/>
      <c r="AA254" s="83"/>
      <c r="AB254" s="84"/>
      <c r="AC254" s="82"/>
      <c r="AD254" s="84"/>
      <c r="AE254" s="82">
        <v>0</v>
      </c>
      <c r="AF254" s="83"/>
      <c r="AG254" s="83"/>
      <c r="AH254" s="83"/>
      <c r="AI254" s="84"/>
      <c r="AJ254" s="82"/>
      <c r="AK254" s="84"/>
      <c r="AL254" s="82">
        <v>0</v>
      </c>
      <c r="AM254" s="83"/>
      <c r="AN254" s="83"/>
      <c r="AO254" s="83"/>
      <c r="AP254" s="84"/>
      <c r="AQ254" s="166"/>
      <c r="AR254" s="166"/>
      <c r="AS254" s="82">
        <v>0</v>
      </c>
      <c r="AT254" s="83"/>
      <c r="AU254" s="83"/>
      <c r="AV254" s="83"/>
      <c r="AW254" s="84"/>
      <c r="AX254" s="166"/>
      <c r="AY254" s="166"/>
      <c r="AZ254" s="82">
        <v>0</v>
      </c>
      <c r="BA254" s="83"/>
      <c r="BB254" s="83"/>
      <c r="BC254" s="83"/>
      <c r="BD254" s="84"/>
      <c r="BE254" s="166"/>
      <c r="BF254" s="166"/>
      <c r="BG254" s="82">
        <v>0</v>
      </c>
      <c r="BH254" s="83"/>
      <c r="BI254" s="83"/>
      <c r="BJ254" s="83"/>
      <c r="BK254" s="84"/>
      <c r="BL254" s="166"/>
      <c r="BM254" s="166"/>
    </row>
    <row r="255" spans="1:85" customHeight="1" ht="13.5">
      <c r="A255" s="4"/>
      <c r="B255" s="126"/>
      <c r="C255" s="144"/>
      <c r="D255" s="144"/>
      <c r="E255" s="145"/>
      <c r="F255" s="167" t="s">
        <v>36</v>
      </c>
      <c r="G255" s="168"/>
      <c r="H255" s="168"/>
      <c r="I255" s="169"/>
      <c r="J255" s="57">
        <f>SUM(J253:N254)</f>
        <v>0</v>
      </c>
      <c r="K255" s="83"/>
      <c r="L255" s="83"/>
      <c r="M255" s="83"/>
      <c r="N255" s="84"/>
      <c r="O255" s="57">
        <f>SUM(O253:P254)</f>
        <v>0</v>
      </c>
      <c r="P255" s="84"/>
      <c r="Q255" s="57">
        <f>SUM(Q253:U254)</f>
        <v>0</v>
      </c>
      <c r="R255" s="83"/>
      <c r="S255" s="83"/>
      <c r="T255" s="83"/>
      <c r="U255" s="84"/>
      <c r="V255" s="57">
        <f>SUM(V253:W254)</f>
        <v>0</v>
      </c>
      <c r="W255" s="84"/>
      <c r="X255" s="57">
        <f>SUM(X253:AB254)</f>
        <v>0</v>
      </c>
      <c r="Y255" s="83"/>
      <c r="Z255" s="83"/>
      <c r="AA255" s="83"/>
      <c r="AB255" s="84"/>
      <c r="AC255" s="57">
        <f>SUM(AC253:AD254)</f>
        <v>0</v>
      </c>
      <c r="AD255" s="84"/>
      <c r="AE255" s="57">
        <f>SUM(AE253:AI254)</f>
        <v>0</v>
      </c>
      <c r="AF255" s="83"/>
      <c r="AG255" s="83"/>
      <c r="AH255" s="83"/>
      <c r="AI255" s="84"/>
      <c r="AJ255" s="57">
        <f>SUM(AJ253:AK254)</f>
        <v>0</v>
      </c>
      <c r="AK255" s="84"/>
      <c r="AL255" s="57">
        <f>SUM(AL253:AP254)</f>
        <v>0</v>
      </c>
      <c r="AM255" s="83"/>
      <c r="AN255" s="83"/>
      <c r="AO255" s="83"/>
      <c r="AP255" s="84"/>
      <c r="AQ255" s="166">
        <f>SUM(AQ253:AR254)</f>
        <v>0</v>
      </c>
      <c r="AR255" s="166"/>
      <c r="AS255" s="57">
        <f>SUM(AS253:AW254)</f>
        <v>0</v>
      </c>
      <c r="AT255" s="83"/>
      <c r="AU255" s="83"/>
      <c r="AV255" s="83"/>
      <c r="AW255" s="84"/>
      <c r="AX255" s="166">
        <f>SUM(AX253:AY254)</f>
        <v>0</v>
      </c>
      <c r="AY255" s="166"/>
      <c r="AZ255" s="57">
        <f>SUM(AZ253:BD254)</f>
        <v>0</v>
      </c>
      <c r="BA255" s="83"/>
      <c r="BB255" s="83"/>
      <c r="BC255" s="83"/>
      <c r="BD255" s="84"/>
      <c r="BE255" s="166">
        <f>SUM(BE253:BF254)</f>
        <v>0</v>
      </c>
      <c r="BF255" s="166"/>
      <c r="BG255" s="57">
        <f>SUM(BG253:BK254)</f>
        <v>0</v>
      </c>
      <c r="BH255" s="83"/>
      <c r="BI255" s="83"/>
      <c r="BJ255" s="83"/>
      <c r="BK255" s="84"/>
      <c r="BL255" s="166">
        <f>SUM(BL253:BM254)</f>
        <v>0</v>
      </c>
      <c r="BM255" s="166"/>
    </row>
    <row r="256" spans="1:85" customHeight="1" ht="13.5">
      <c r="A256" s="4"/>
      <c r="B256" s="175" t="s">
        <v>45</v>
      </c>
      <c r="C256" s="175"/>
      <c r="D256" s="175"/>
      <c r="E256" s="175"/>
      <c r="F256" s="173" t="s">
        <v>34</v>
      </c>
      <c r="G256" s="173"/>
      <c r="H256" s="173"/>
      <c r="I256" s="174"/>
      <c r="J256" s="57">
        <f>SUM(J253,J250,J247,J244,J241,J238,J235,J232,J229)</f>
        <v>56</v>
      </c>
      <c r="K256" s="83"/>
      <c r="L256" s="83"/>
      <c r="M256" s="83"/>
      <c r="N256" s="84"/>
      <c r="O256" s="82"/>
      <c r="P256" s="84"/>
      <c r="Q256" s="57">
        <f>SUM(Q253,Q250,Q247,Q244,Q241,Q238,Q235,Q232,Q229)</f>
        <v>59</v>
      </c>
      <c r="R256" s="83"/>
      <c r="S256" s="83"/>
      <c r="T256" s="83"/>
      <c r="U256" s="84"/>
      <c r="V256" s="82"/>
      <c r="W256" s="84"/>
      <c r="X256" s="57">
        <f>SUM(X253,X250,X247,X244,X241,X238,X235,X232,X229)</f>
        <v>60</v>
      </c>
      <c r="Y256" s="83"/>
      <c r="Z256" s="83"/>
      <c r="AA256" s="83"/>
      <c r="AB256" s="84"/>
      <c r="AC256" s="82"/>
      <c r="AD256" s="84"/>
      <c r="AE256" s="57">
        <f>SUM(AE253,AE250,AE247,AE244,AE241,AE238,AE235,AE232,AE229)</f>
        <v>47</v>
      </c>
      <c r="AF256" s="83"/>
      <c r="AG256" s="83"/>
      <c r="AH256" s="83"/>
      <c r="AI256" s="84"/>
      <c r="AJ256" s="82"/>
      <c r="AK256" s="84"/>
      <c r="AL256" s="57">
        <f>SUM(AL253,AL250,AL247,AL244,AL241,AL238,AL235,AL232,AL229)</f>
        <v>0</v>
      </c>
      <c r="AM256" s="83"/>
      <c r="AN256" s="83"/>
      <c r="AO256" s="83"/>
      <c r="AP256" s="84"/>
      <c r="AQ256" s="166"/>
      <c r="AR256" s="166"/>
      <c r="AS256" s="57">
        <f>SUM(AS253,AS250,AS247,AS244,AS241,AS238,AS235,AS232,AS229)</f>
        <v>0</v>
      </c>
      <c r="AT256" s="83"/>
      <c r="AU256" s="83"/>
      <c r="AV256" s="83"/>
      <c r="AW256" s="84"/>
      <c r="AX256" s="166"/>
      <c r="AY256" s="166"/>
      <c r="AZ256" s="57">
        <f>SUM(AZ253,AZ250,AZ247,AZ244,AZ241,AZ238,AZ235,AZ232,AZ229)</f>
        <v>0</v>
      </c>
      <c r="BA256" s="83"/>
      <c r="BB256" s="83"/>
      <c r="BC256" s="83"/>
      <c r="BD256" s="84"/>
      <c r="BE256" s="166"/>
      <c r="BF256" s="166"/>
      <c r="BG256" s="57">
        <f>SUM(BG253,BG250,BG247,BG244,BG241,BG238,BG235,BG232,BG229)</f>
        <v>0</v>
      </c>
      <c r="BH256" s="83"/>
      <c r="BI256" s="83"/>
      <c r="BJ256" s="83"/>
      <c r="BK256" s="84"/>
      <c r="BL256" s="166"/>
      <c r="BM256" s="166"/>
    </row>
    <row r="257" spans="1:85" customHeight="1" ht="13.5">
      <c r="A257" s="4"/>
      <c r="B257" s="175"/>
      <c r="C257" s="175"/>
      <c r="D257" s="175"/>
      <c r="E257" s="175"/>
      <c r="F257" s="168" t="s">
        <v>35</v>
      </c>
      <c r="G257" s="168"/>
      <c r="H257" s="168"/>
      <c r="I257" s="169"/>
      <c r="J257" s="57">
        <f>SUM(J254,J251,J248,J245,J242,J239,J236,J233,J230)</f>
        <v>60</v>
      </c>
      <c r="K257" s="83"/>
      <c r="L257" s="83"/>
      <c r="M257" s="83"/>
      <c r="N257" s="84"/>
      <c r="O257" s="82"/>
      <c r="P257" s="84"/>
      <c r="Q257" s="57">
        <f>SUM(Q254,Q251,Q248,Q245,Q242,Q239,Q236,Q233,Q230)</f>
        <v>45</v>
      </c>
      <c r="R257" s="83"/>
      <c r="S257" s="83"/>
      <c r="T257" s="83"/>
      <c r="U257" s="84"/>
      <c r="V257" s="82"/>
      <c r="W257" s="84"/>
      <c r="X257" s="57">
        <f>SUM(X254,X251,X248,X245,X242,X239,X236,X233,X230)</f>
        <v>54</v>
      </c>
      <c r="Y257" s="83"/>
      <c r="Z257" s="83"/>
      <c r="AA257" s="83"/>
      <c r="AB257" s="84"/>
      <c r="AC257" s="82"/>
      <c r="AD257" s="84"/>
      <c r="AE257" s="57">
        <f>SUM(AE254,AE251,AE248,AE245,AE242,AE239,AE236,AE233,AE230)</f>
        <v>69</v>
      </c>
      <c r="AF257" s="83"/>
      <c r="AG257" s="83"/>
      <c r="AH257" s="83"/>
      <c r="AI257" s="84"/>
      <c r="AJ257" s="82"/>
      <c r="AK257" s="84"/>
      <c r="AL257" s="57">
        <f>SUM(AL254,AL251,AL248,AL245,AL242,AL239,AL236,AL233,AL230)</f>
        <v>0</v>
      </c>
      <c r="AM257" s="83"/>
      <c r="AN257" s="83"/>
      <c r="AO257" s="83"/>
      <c r="AP257" s="84"/>
      <c r="AQ257" s="166"/>
      <c r="AR257" s="166"/>
      <c r="AS257" s="57">
        <f>SUM(AS254,AS251,AS248,AS245,AS242,AS239,AS236,AS233,AS230)</f>
        <v>0</v>
      </c>
      <c r="AT257" s="83"/>
      <c r="AU257" s="83"/>
      <c r="AV257" s="83"/>
      <c r="AW257" s="84"/>
      <c r="AX257" s="166"/>
      <c r="AY257" s="166"/>
      <c r="AZ257" s="57">
        <f>SUM(AZ254,AZ251,AZ248,AZ245,AZ242,AZ239,AZ236,AZ233,AZ230)</f>
        <v>0</v>
      </c>
      <c r="BA257" s="83"/>
      <c r="BB257" s="83"/>
      <c r="BC257" s="83"/>
      <c r="BD257" s="84"/>
      <c r="BE257" s="166"/>
      <c r="BF257" s="166"/>
      <c r="BG257" s="57">
        <f>SUM(BG254,BG251,BG248,BG245,BG242,BG239,BG236,BG233,BG230)</f>
        <v>0</v>
      </c>
      <c r="BH257" s="83"/>
      <c r="BI257" s="83"/>
      <c r="BJ257" s="83"/>
      <c r="BK257" s="84"/>
      <c r="BL257" s="166"/>
      <c r="BM257" s="166"/>
    </row>
    <row r="258" spans="1:85" customHeight="1" ht="13.5" s="78" customFormat="1">
      <c r="A258" s="16"/>
      <c r="B258" s="175"/>
      <c r="C258" s="175"/>
      <c r="D258" s="175"/>
      <c r="E258" s="175"/>
      <c r="F258" s="168" t="s">
        <v>36</v>
      </c>
      <c r="G258" s="168"/>
      <c r="H258" s="168"/>
      <c r="I258" s="169"/>
      <c r="J258" s="85">
        <f>SUM(J256:N257)</f>
        <v>116</v>
      </c>
      <c r="K258" s="86"/>
      <c r="L258" s="86"/>
      <c r="M258" s="86"/>
      <c r="N258" s="87"/>
      <c r="O258" s="85">
        <f>SUM(O256:P257)</f>
        <v>0</v>
      </c>
      <c r="P258" s="87"/>
      <c r="Q258" s="85">
        <f>SUM(Q256:U257)</f>
        <v>104</v>
      </c>
      <c r="R258" s="86"/>
      <c r="S258" s="86"/>
      <c r="T258" s="86"/>
      <c r="U258" s="87"/>
      <c r="V258" s="85">
        <f>SUM(V256:W257)</f>
        <v>0</v>
      </c>
      <c r="W258" s="87"/>
      <c r="X258" s="85">
        <f>SUM(X256:AB257)</f>
        <v>114</v>
      </c>
      <c r="Y258" s="86"/>
      <c r="Z258" s="86"/>
      <c r="AA258" s="86"/>
      <c r="AB258" s="87"/>
      <c r="AC258" s="85">
        <f>SUM(AC256:AD257)</f>
        <v>0</v>
      </c>
      <c r="AD258" s="87"/>
      <c r="AE258" s="85">
        <f>SUM(AE256:AI257)</f>
        <v>116</v>
      </c>
      <c r="AF258" s="86"/>
      <c r="AG258" s="86"/>
      <c r="AH258" s="86"/>
      <c r="AI258" s="87"/>
      <c r="AJ258" s="85">
        <f>SUM(AJ256:AK257)</f>
        <v>0</v>
      </c>
      <c r="AK258" s="87"/>
      <c r="AL258" s="85">
        <f>SUM(AL256:AP257)</f>
        <v>0</v>
      </c>
      <c r="AM258" s="86"/>
      <c r="AN258" s="86"/>
      <c r="AO258" s="86"/>
      <c r="AP258" s="87"/>
      <c r="AQ258" s="163">
        <f>SUM(AQ256:AR257)</f>
        <v>0</v>
      </c>
      <c r="AR258" s="163"/>
      <c r="AS258" s="85">
        <f>SUM(AS256:AW257)</f>
        <v>0</v>
      </c>
      <c r="AT258" s="86"/>
      <c r="AU258" s="86"/>
      <c r="AV258" s="86"/>
      <c r="AW258" s="87"/>
      <c r="AX258" s="163">
        <f>SUM(AX256:AY257)</f>
        <v>0</v>
      </c>
      <c r="AY258" s="163"/>
      <c r="AZ258" s="85">
        <f>SUM(AZ256:BD257)</f>
        <v>0</v>
      </c>
      <c r="BA258" s="86"/>
      <c r="BB258" s="86"/>
      <c r="BC258" s="86"/>
      <c r="BD258" s="87"/>
      <c r="BE258" s="163">
        <f>SUM(BE256:BF257)</f>
        <v>0</v>
      </c>
      <c r="BF258" s="163"/>
      <c r="BG258" s="85">
        <f>SUM(BG256:BK257)</f>
        <v>0</v>
      </c>
      <c r="BH258" s="86"/>
      <c r="BI258" s="86"/>
      <c r="BJ258" s="86"/>
      <c r="BK258" s="87"/>
      <c r="BL258" s="163">
        <f>SUM(BL256:BM257)</f>
        <v>0</v>
      </c>
      <c r="BM258" s="163"/>
    </row>
    <row r="259" spans="1:85" customHeight="1" ht="13.5">
      <c r="A259" s="4"/>
      <c r="B259" s="16"/>
      <c r="C259" s="16"/>
      <c r="D259" s="16"/>
      <c r="E259" s="16"/>
      <c r="F259" s="16"/>
      <c r="G259" s="16"/>
      <c r="H259" s="16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</row>
    <row r="260" spans="1:85" customHeight="1" ht="13.5">
      <c r="A260" s="4"/>
      <c r="B260" s="183" t="s">
        <v>62</v>
      </c>
      <c r="C260" s="183"/>
      <c r="D260" s="183"/>
      <c r="E260" s="183"/>
      <c r="F260" s="183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4"/>
      <c r="AR260" s="4"/>
      <c r="AS260" s="4"/>
    </row>
    <row r="261" spans="1:85" customHeight="1" ht="13.5">
      <c r="A261" s="4"/>
      <c r="B261" s="114" t="s">
        <v>22</v>
      </c>
      <c r="C261" s="91"/>
      <c r="D261" s="91"/>
      <c r="E261" s="93"/>
      <c r="F261" s="114" t="s">
        <v>23</v>
      </c>
      <c r="G261" s="91"/>
      <c r="H261" s="91"/>
      <c r="I261" s="93"/>
      <c r="J261" s="139" t="s">
        <v>63</v>
      </c>
      <c r="K261" s="91"/>
      <c r="L261" s="91"/>
      <c r="M261" s="91"/>
      <c r="N261" s="93"/>
      <c r="O261" s="139" t="s">
        <v>64</v>
      </c>
      <c r="P261" s="91"/>
      <c r="Q261" s="91"/>
      <c r="R261" s="91"/>
      <c r="S261" s="93"/>
      <c r="T261" s="139" t="s">
        <v>58</v>
      </c>
      <c r="U261" s="93"/>
      <c r="V261" s="139" t="s">
        <v>65</v>
      </c>
      <c r="W261" s="91"/>
      <c r="X261" s="91"/>
      <c r="Y261" s="91"/>
      <c r="Z261" s="93"/>
      <c r="AA261" s="139" t="s">
        <v>58</v>
      </c>
      <c r="AB261" s="93"/>
      <c r="AC261" s="114" t="s">
        <v>66</v>
      </c>
      <c r="AD261" s="91"/>
      <c r="AE261" s="91"/>
      <c r="AF261" s="91"/>
      <c r="AG261" s="93"/>
      <c r="AH261" s="139" t="s">
        <v>58</v>
      </c>
      <c r="AI261" s="93"/>
      <c r="AJ261" s="114" t="s">
        <v>67</v>
      </c>
      <c r="AK261" s="91"/>
      <c r="AL261" s="91"/>
      <c r="AM261" s="91"/>
      <c r="AN261" s="93"/>
      <c r="AO261" s="139" t="s">
        <v>58</v>
      </c>
      <c r="AP261" s="93"/>
      <c r="AQ261" s="4"/>
      <c r="AR261" s="4"/>
      <c r="AS261" s="4"/>
    </row>
    <row r="262" spans="1:85" customHeight="1" ht="13.5">
      <c r="A262" s="4"/>
      <c r="B262" s="115"/>
      <c r="C262" s="116"/>
      <c r="D262" s="116"/>
      <c r="E262" s="117"/>
      <c r="F262" s="115"/>
      <c r="G262" s="116"/>
      <c r="H262" s="116"/>
      <c r="I262" s="117"/>
      <c r="J262" s="115"/>
      <c r="K262" s="116"/>
      <c r="L262" s="116"/>
      <c r="M262" s="116"/>
      <c r="N262" s="117"/>
      <c r="O262" s="115"/>
      <c r="P262" s="116"/>
      <c r="Q262" s="116"/>
      <c r="R262" s="116"/>
      <c r="S262" s="117"/>
      <c r="T262" s="115"/>
      <c r="U262" s="117"/>
      <c r="V262" s="115"/>
      <c r="W262" s="116"/>
      <c r="X262" s="116"/>
      <c r="Y262" s="116"/>
      <c r="Z262" s="117"/>
      <c r="AA262" s="115"/>
      <c r="AB262" s="117"/>
      <c r="AC262" s="115"/>
      <c r="AD262" s="116"/>
      <c r="AE262" s="116"/>
      <c r="AF262" s="116"/>
      <c r="AG262" s="117"/>
      <c r="AH262" s="115"/>
      <c r="AI262" s="117"/>
      <c r="AJ262" s="115"/>
      <c r="AK262" s="116"/>
      <c r="AL262" s="116"/>
      <c r="AM262" s="116"/>
      <c r="AN262" s="117"/>
      <c r="AO262" s="115"/>
      <c r="AP262" s="117"/>
      <c r="AQ262" s="4"/>
      <c r="AR262" s="4"/>
      <c r="AS262" s="4"/>
    </row>
    <row r="263" spans="1:85" customHeight="1" ht="13.5">
      <c r="A263" s="4"/>
      <c r="B263" s="126" t="s">
        <v>33</v>
      </c>
      <c r="C263" s="105"/>
      <c r="D263" s="105"/>
      <c r="E263" s="100"/>
      <c r="F263" s="128" t="s">
        <v>34</v>
      </c>
      <c r="G263" s="95"/>
      <c r="H263" s="95"/>
      <c r="I263" s="96"/>
      <c r="J263" s="135">
        <v>94</v>
      </c>
      <c r="K263" s="95"/>
      <c r="L263" s="95"/>
      <c r="M263" s="95"/>
      <c r="N263" s="96"/>
      <c r="O263" s="135">
        <v>94</v>
      </c>
      <c r="P263" s="95"/>
      <c r="Q263" s="95"/>
      <c r="R263" s="95"/>
      <c r="S263" s="96"/>
      <c r="T263" s="135"/>
      <c r="U263" s="96"/>
      <c r="V263" s="135">
        <v>50</v>
      </c>
      <c r="W263" s="95"/>
      <c r="X263" s="95"/>
      <c r="Y263" s="95"/>
      <c r="Z263" s="96"/>
      <c r="AA263" s="135"/>
      <c r="AB263" s="96"/>
      <c r="AC263" s="135">
        <v>49</v>
      </c>
      <c r="AD263" s="95"/>
      <c r="AE263" s="95"/>
      <c r="AF263" s="95"/>
      <c r="AG263" s="96"/>
      <c r="AH263" s="135"/>
      <c r="AI263" s="96"/>
      <c r="AJ263" s="135">
        <v>51</v>
      </c>
      <c r="AK263" s="95"/>
      <c r="AL263" s="95"/>
      <c r="AM263" s="95"/>
      <c r="AN263" s="96"/>
      <c r="AO263" s="135"/>
      <c r="AP263" s="96"/>
      <c r="AQ263" s="4"/>
      <c r="AR263" s="4"/>
      <c r="AS263" s="4"/>
    </row>
    <row r="264" spans="1:85" customHeight="1" ht="13.5">
      <c r="A264" s="4"/>
      <c r="B264" s="127"/>
      <c r="C264" s="105"/>
      <c r="D264" s="105"/>
      <c r="E264" s="100"/>
      <c r="F264" s="131" t="s">
        <v>35</v>
      </c>
      <c r="G264" s="116"/>
      <c r="H264" s="116"/>
      <c r="I264" s="117"/>
      <c r="J264" s="135">
        <v>82</v>
      </c>
      <c r="K264" s="95"/>
      <c r="L264" s="95"/>
      <c r="M264" s="95"/>
      <c r="N264" s="96"/>
      <c r="O264" s="135">
        <v>82</v>
      </c>
      <c r="P264" s="95"/>
      <c r="Q264" s="95"/>
      <c r="R264" s="95"/>
      <c r="S264" s="96"/>
      <c r="T264" s="135"/>
      <c r="U264" s="96"/>
      <c r="V264" s="135">
        <v>38</v>
      </c>
      <c r="W264" s="95"/>
      <c r="X264" s="95"/>
      <c r="Y264" s="95"/>
      <c r="Z264" s="96"/>
      <c r="AA264" s="135"/>
      <c r="AB264" s="96"/>
      <c r="AC264" s="135">
        <v>40</v>
      </c>
      <c r="AD264" s="95"/>
      <c r="AE264" s="95"/>
      <c r="AF264" s="95"/>
      <c r="AG264" s="96"/>
      <c r="AH264" s="135"/>
      <c r="AI264" s="96"/>
      <c r="AJ264" s="135">
        <v>46</v>
      </c>
      <c r="AK264" s="95"/>
      <c r="AL264" s="95"/>
      <c r="AM264" s="95"/>
      <c r="AN264" s="96"/>
      <c r="AO264" s="135"/>
      <c r="AP264" s="96"/>
      <c r="AQ264" s="4"/>
      <c r="AR264" s="4"/>
      <c r="AS264" s="4"/>
    </row>
    <row r="265" spans="1:85" customHeight="1" ht="13.5">
      <c r="A265" s="4"/>
      <c r="B265" s="115"/>
      <c r="C265" s="116"/>
      <c r="D265" s="116"/>
      <c r="E265" s="117"/>
      <c r="F265" s="131" t="s">
        <v>36</v>
      </c>
      <c r="G265" s="116"/>
      <c r="H265" s="116"/>
      <c r="I265" s="117"/>
      <c r="J265" s="135">
        <f>SUM(J263:N264)</f>
        <v>176</v>
      </c>
      <c r="K265" s="95"/>
      <c r="L265" s="95"/>
      <c r="M265" s="95"/>
      <c r="N265" s="96"/>
      <c r="O265" s="135">
        <f>SUM(O263:S264)</f>
        <v>176</v>
      </c>
      <c r="P265" s="95"/>
      <c r="Q265" s="95"/>
      <c r="R265" s="95"/>
      <c r="S265" s="96"/>
      <c r="T265" s="135">
        <f>SUM(T263:X264)</f>
        <v>88</v>
      </c>
      <c r="U265" s="96"/>
      <c r="V265" s="135">
        <f>SUM(V263:Z264)</f>
        <v>88</v>
      </c>
      <c r="W265" s="95"/>
      <c r="X265" s="95"/>
      <c r="Y265" s="95"/>
      <c r="Z265" s="96"/>
      <c r="AA265" s="135">
        <f>SUM(AA263:AE264)</f>
        <v>89</v>
      </c>
      <c r="AB265" s="96"/>
      <c r="AC265" s="135">
        <f>SUM(AC263:AG264)</f>
        <v>89</v>
      </c>
      <c r="AD265" s="95"/>
      <c r="AE265" s="95"/>
      <c r="AF265" s="95"/>
      <c r="AG265" s="96"/>
      <c r="AH265" s="135">
        <f>SUM(AH263:AL264)</f>
        <v>97</v>
      </c>
      <c r="AI265" s="96"/>
      <c r="AJ265" s="135">
        <f>SUM(AJ263:AN264)</f>
        <v>97</v>
      </c>
      <c r="AK265" s="95"/>
      <c r="AL265" s="95"/>
      <c r="AM265" s="95"/>
      <c r="AN265" s="96"/>
      <c r="AO265" s="135">
        <f>SUM(AO263:AS264)</f>
        <v>0</v>
      </c>
      <c r="AP265" s="96"/>
      <c r="AQ265" s="4"/>
      <c r="AR265" s="4"/>
      <c r="AS265" s="4"/>
    </row>
    <row r="266" spans="1:85" customHeight="1" ht="13.5">
      <c r="A266" s="4"/>
      <c r="B266" s="126" t="s">
        <v>37</v>
      </c>
      <c r="C266" s="105"/>
      <c r="D266" s="105"/>
      <c r="E266" s="100"/>
      <c r="F266" s="128" t="s">
        <v>34</v>
      </c>
      <c r="G266" s="95"/>
      <c r="H266" s="95"/>
      <c r="I266" s="96"/>
      <c r="J266" s="135">
        <v>92</v>
      </c>
      <c r="K266" s="95"/>
      <c r="L266" s="95"/>
      <c r="M266" s="95"/>
      <c r="N266" s="96"/>
      <c r="O266" s="135">
        <v>92</v>
      </c>
      <c r="P266" s="95"/>
      <c r="Q266" s="95"/>
      <c r="R266" s="95"/>
      <c r="S266" s="96"/>
      <c r="T266" s="135"/>
      <c r="U266" s="96"/>
      <c r="V266" s="135">
        <v>44</v>
      </c>
      <c r="W266" s="95"/>
      <c r="X266" s="95"/>
      <c r="Y266" s="95"/>
      <c r="Z266" s="96"/>
      <c r="AA266" s="135"/>
      <c r="AB266" s="96"/>
      <c r="AC266" s="135">
        <v>46</v>
      </c>
      <c r="AD266" s="95"/>
      <c r="AE266" s="95"/>
      <c r="AF266" s="95"/>
      <c r="AG266" s="96"/>
      <c r="AH266" s="135"/>
      <c r="AI266" s="96"/>
      <c r="AJ266" s="135">
        <v>51</v>
      </c>
      <c r="AK266" s="95"/>
      <c r="AL266" s="95"/>
      <c r="AM266" s="95"/>
      <c r="AN266" s="96"/>
      <c r="AO266" s="135"/>
      <c r="AP266" s="96"/>
      <c r="AQ266" s="4"/>
      <c r="AR266" s="4"/>
      <c r="AS266" s="4"/>
    </row>
    <row r="267" spans="1:85" customHeight="1" ht="13.5">
      <c r="A267" s="4"/>
      <c r="B267" s="127"/>
      <c r="C267" s="105"/>
      <c r="D267" s="105"/>
      <c r="E267" s="100"/>
      <c r="F267" s="131" t="s">
        <v>35</v>
      </c>
      <c r="G267" s="116"/>
      <c r="H267" s="116"/>
      <c r="I267" s="117"/>
      <c r="J267" s="135">
        <v>92</v>
      </c>
      <c r="K267" s="95"/>
      <c r="L267" s="95"/>
      <c r="M267" s="95"/>
      <c r="N267" s="96"/>
      <c r="O267" s="135">
        <v>92</v>
      </c>
      <c r="P267" s="95"/>
      <c r="Q267" s="95"/>
      <c r="R267" s="95"/>
      <c r="S267" s="96"/>
      <c r="T267" s="135"/>
      <c r="U267" s="96"/>
      <c r="V267" s="135">
        <v>42</v>
      </c>
      <c r="W267" s="95"/>
      <c r="X267" s="95"/>
      <c r="Y267" s="95"/>
      <c r="Z267" s="96"/>
      <c r="AA267" s="135"/>
      <c r="AB267" s="96"/>
      <c r="AC267" s="135">
        <v>47</v>
      </c>
      <c r="AD267" s="95"/>
      <c r="AE267" s="95"/>
      <c r="AF267" s="95"/>
      <c r="AG267" s="96"/>
      <c r="AH267" s="135"/>
      <c r="AI267" s="96"/>
      <c r="AJ267" s="135">
        <v>49</v>
      </c>
      <c r="AK267" s="95"/>
      <c r="AL267" s="95"/>
      <c r="AM267" s="95"/>
      <c r="AN267" s="96"/>
      <c r="AO267" s="135"/>
      <c r="AP267" s="96"/>
      <c r="AQ267" s="4"/>
      <c r="AR267" s="4"/>
      <c r="AS267" s="4"/>
    </row>
    <row r="268" spans="1:85" customHeight="1" ht="13.5">
      <c r="A268" s="4"/>
      <c r="B268" s="115"/>
      <c r="C268" s="116"/>
      <c r="D268" s="116"/>
      <c r="E268" s="117"/>
      <c r="F268" s="131" t="s">
        <v>36</v>
      </c>
      <c r="G268" s="116"/>
      <c r="H268" s="116"/>
      <c r="I268" s="117"/>
      <c r="J268" s="135">
        <f>SUM(J266:N267)</f>
        <v>184</v>
      </c>
      <c r="K268" s="95"/>
      <c r="L268" s="95"/>
      <c r="M268" s="95"/>
      <c r="N268" s="96"/>
      <c r="O268" s="135">
        <f>SUM(O266:S267)</f>
        <v>184</v>
      </c>
      <c r="P268" s="95"/>
      <c r="Q268" s="95"/>
      <c r="R268" s="95"/>
      <c r="S268" s="96"/>
      <c r="T268" s="135">
        <f>SUM(T266:X267)</f>
        <v>86</v>
      </c>
      <c r="U268" s="96"/>
      <c r="V268" s="135">
        <f>SUM(V266:Z267)</f>
        <v>86</v>
      </c>
      <c r="W268" s="95"/>
      <c r="X268" s="95"/>
      <c r="Y268" s="95"/>
      <c r="Z268" s="96"/>
      <c r="AA268" s="135">
        <f>SUM(AA266:AE267)</f>
        <v>93</v>
      </c>
      <c r="AB268" s="96"/>
      <c r="AC268" s="135">
        <f>SUM(AC266:AG267)</f>
        <v>93</v>
      </c>
      <c r="AD268" s="95"/>
      <c r="AE268" s="95"/>
      <c r="AF268" s="95"/>
      <c r="AG268" s="96"/>
      <c r="AH268" s="135">
        <f>SUM(AH266:AL267)</f>
        <v>100</v>
      </c>
      <c r="AI268" s="96"/>
      <c r="AJ268" s="135">
        <f>SUM(AJ266:AN267)</f>
        <v>100</v>
      </c>
      <c r="AK268" s="95"/>
      <c r="AL268" s="95"/>
      <c r="AM268" s="95"/>
      <c r="AN268" s="96"/>
      <c r="AO268" s="135">
        <f>SUM(AO266:AS267)</f>
        <v>0</v>
      </c>
      <c r="AP268" s="96"/>
      <c r="AQ268" s="4"/>
      <c r="AR268" s="4"/>
      <c r="AS268" s="4"/>
    </row>
    <row r="269" spans="1:85" customHeight="1" ht="13.5">
      <c r="A269" s="4"/>
      <c r="B269" s="126" t="s">
        <v>38</v>
      </c>
      <c r="C269" s="105"/>
      <c r="D269" s="105"/>
      <c r="E269" s="100"/>
      <c r="F269" s="128" t="s">
        <v>34</v>
      </c>
      <c r="G269" s="95"/>
      <c r="H269" s="95"/>
      <c r="I269" s="96"/>
      <c r="J269" s="135">
        <v>35</v>
      </c>
      <c r="K269" s="95"/>
      <c r="L269" s="95"/>
      <c r="M269" s="95"/>
      <c r="N269" s="96"/>
      <c r="O269" s="135">
        <v>35</v>
      </c>
      <c r="P269" s="95"/>
      <c r="Q269" s="95"/>
      <c r="R269" s="95"/>
      <c r="S269" s="96"/>
      <c r="T269" s="135"/>
      <c r="U269" s="96"/>
      <c r="V269" s="135">
        <v>17</v>
      </c>
      <c r="W269" s="95"/>
      <c r="X269" s="95"/>
      <c r="Y269" s="95"/>
      <c r="Z269" s="96"/>
      <c r="AA269" s="135"/>
      <c r="AB269" s="96"/>
      <c r="AC269" s="135">
        <v>19</v>
      </c>
      <c r="AD269" s="95"/>
      <c r="AE269" s="95"/>
      <c r="AF269" s="95"/>
      <c r="AG269" s="96"/>
      <c r="AH269" s="135"/>
      <c r="AI269" s="96"/>
      <c r="AJ269" s="135">
        <v>20</v>
      </c>
      <c r="AK269" s="95"/>
      <c r="AL269" s="95"/>
      <c r="AM269" s="95"/>
      <c r="AN269" s="96"/>
      <c r="AO269" s="135"/>
      <c r="AP269" s="96"/>
      <c r="AQ269" s="4"/>
      <c r="AR269" s="4"/>
      <c r="AS269" s="4"/>
    </row>
    <row r="270" spans="1:85" customHeight="1" ht="13.5">
      <c r="A270" s="4"/>
      <c r="B270" s="127"/>
      <c r="C270" s="105"/>
      <c r="D270" s="105"/>
      <c r="E270" s="100"/>
      <c r="F270" s="131" t="s">
        <v>35</v>
      </c>
      <c r="G270" s="116"/>
      <c r="H270" s="116"/>
      <c r="I270" s="117"/>
      <c r="J270" s="135">
        <v>51</v>
      </c>
      <c r="K270" s="95"/>
      <c r="L270" s="95"/>
      <c r="M270" s="95"/>
      <c r="N270" s="96"/>
      <c r="O270" s="135">
        <v>51</v>
      </c>
      <c r="P270" s="95"/>
      <c r="Q270" s="95"/>
      <c r="R270" s="95"/>
      <c r="S270" s="96"/>
      <c r="T270" s="135"/>
      <c r="U270" s="96"/>
      <c r="V270" s="135">
        <v>21</v>
      </c>
      <c r="W270" s="95"/>
      <c r="X270" s="95"/>
      <c r="Y270" s="95"/>
      <c r="Z270" s="96"/>
      <c r="AA270" s="135"/>
      <c r="AB270" s="96"/>
      <c r="AC270" s="135">
        <v>26</v>
      </c>
      <c r="AD270" s="95"/>
      <c r="AE270" s="95"/>
      <c r="AF270" s="95"/>
      <c r="AG270" s="96"/>
      <c r="AH270" s="135"/>
      <c r="AI270" s="96"/>
      <c r="AJ270" s="135">
        <v>21</v>
      </c>
      <c r="AK270" s="95"/>
      <c r="AL270" s="95"/>
      <c r="AM270" s="95"/>
      <c r="AN270" s="96"/>
      <c r="AO270" s="135"/>
      <c r="AP270" s="96"/>
      <c r="AQ270" s="4"/>
      <c r="AR270" s="4"/>
      <c r="AS270" s="4"/>
    </row>
    <row r="271" spans="1:85" customHeight="1" ht="13.5">
      <c r="A271" s="4"/>
      <c r="B271" s="115"/>
      <c r="C271" s="116"/>
      <c r="D271" s="116"/>
      <c r="E271" s="117"/>
      <c r="F271" s="131" t="s">
        <v>36</v>
      </c>
      <c r="G271" s="116"/>
      <c r="H271" s="116"/>
      <c r="I271" s="117"/>
      <c r="J271" s="135">
        <f>SUM(J269:N270)</f>
        <v>86</v>
      </c>
      <c r="K271" s="95"/>
      <c r="L271" s="95"/>
      <c r="M271" s="95"/>
      <c r="N271" s="96"/>
      <c r="O271" s="135">
        <f>SUM(O269:S270)</f>
        <v>86</v>
      </c>
      <c r="P271" s="95"/>
      <c r="Q271" s="95"/>
      <c r="R271" s="95"/>
      <c r="S271" s="96"/>
      <c r="T271" s="135">
        <f>SUM(T269:X270)</f>
        <v>38</v>
      </c>
      <c r="U271" s="96"/>
      <c r="V271" s="135">
        <f>SUM(V269:Z270)</f>
        <v>38</v>
      </c>
      <c r="W271" s="95"/>
      <c r="X271" s="95"/>
      <c r="Y271" s="95"/>
      <c r="Z271" s="96"/>
      <c r="AA271" s="135">
        <f>SUM(AA269:AE270)</f>
        <v>45</v>
      </c>
      <c r="AB271" s="96"/>
      <c r="AC271" s="135">
        <f>SUM(AC269:AG270)</f>
        <v>45</v>
      </c>
      <c r="AD271" s="95"/>
      <c r="AE271" s="95"/>
      <c r="AF271" s="95"/>
      <c r="AG271" s="96"/>
      <c r="AH271" s="135">
        <f>SUM(AH269:AL270)</f>
        <v>41</v>
      </c>
      <c r="AI271" s="96"/>
      <c r="AJ271" s="135">
        <f>SUM(AJ269:AN270)</f>
        <v>41</v>
      </c>
      <c r="AK271" s="95"/>
      <c r="AL271" s="95"/>
      <c r="AM271" s="95"/>
      <c r="AN271" s="96"/>
      <c r="AO271" s="135">
        <f>SUM(AO269:AS270)</f>
        <v>0</v>
      </c>
      <c r="AP271" s="96"/>
      <c r="AQ271" s="4"/>
      <c r="AR271" s="4"/>
      <c r="AS271" s="4"/>
    </row>
    <row r="272" spans="1:85" customHeight="1" ht="13.5">
      <c r="A272" s="4"/>
      <c r="B272" s="126" t="s">
        <v>39</v>
      </c>
      <c r="C272" s="105"/>
      <c r="D272" s="105"/>
      <c r="E272" s="100"/>
      <c r="F272" s="128" t="s">
        <v>34</v>
      </c>
      <c r="G272" s="95"/>
      <c r="H272" s="95"/>
      <c r="I272" s="96"/>
      <c r="J272" s="135">
        <v>1</v>
      </c>
      <c r="K272" s="95"/>
      <c r="L272" s="95"/>
      <c r="M272" s="95"/>
      <c r="N272" s="96"/>
      <c r="O272" s="135">
        <v>1</v>
      </c>
      <c r="P272" s="95"/>
      <c r="Q272" s="95"/>
      <c r="R272" s="95"/>
      <c r="S272" s="96"/>
      <c r="T272" s="135"/>
      <c r="U272" s="96"/>
      <c r="V272" s="135">
        <v>1</v>
      </c>
      <c r="W272" s="95"/>
      <c r="X272" s="95"/>
      <c r="Y272" s="95"/>
      <c r="Z272" s="96"/>
      <c r="AA272" s="135"/>
      <c r="AB272" s="96"/>
      <c r="AC272" s="135">
        <v>0</v>
      </c>
      <c r="AD272" s="95"/>
      <c r="AE272" s="95"/>
      <c r="AF272" s="95"/>
      <c r="AG272" s="96"/>
      <c r="AH272" s="135"/>
      <c r="AI272" s="96"/>
      <c r="AJ272" s="135">
        <v>1</v>
      </c>
      <c r="AK272" s="95"/>
      <c r="AL272" s="95"/>
      <c r="AM272" s="95"/>
      <c r="AN272" s="96"/>
      <c r="AO272" s="135"/>
      <c r="AP272" s="96"/>
      <c r="AQ272" s="4"/>
      <c r="AR272" s="4"/>
      <c r="AS272" s="4"/>
    </row>
    <row r="273" spans="1:85" customHeight="1" ht="13.5">
      <c r="A273" s="4"/>
      <c r="B273" s="127"/>
      <c r="C273" s="105"/>
      <c r="D273" s="105"/>
      <c r="E273" s="100"/>
      <c r="F273" s="131" t="s">
        <v>35</v>
      </c>
      <c r="G273" s="116"/>
      <c r="H273" s="116"/>
      <c r="I273" s="117"/>
      <c r="J273" s="135">
        <v>3</v>
      </c>
      <c r="K273" s="95"/>
      <c r="L273" s="95"/>
      <c r="M273" s="95"/>
      <c r="N273" s="96"/>
      <c r="O273" s="135">
        <v>3</v>
      </c>
      <c r="P273" s="95"/>
      <c r="Q273" s="95"/>
      <c r="R273" s="95"/>
      <c r="S273" s="96"/>
      <c r="T273" s="135"/>
      <c r="U273" s="96"/>
      <c r="V273" s="135">
        <v>3</v>
      </c>
      <c r="W273" s="95"/>
      <c r="X273" s="95"/>
      <c r="Y273" s="95"/>
      <c r="Z273" s="96"/>
      <c r="AA273" s="135"/>
      <c r="AB273" s="96"/>
      <c r="AC273" s="135">
        <v>1</v>
      </c>
      <c r="AD273" s="95"/>
      <c r="AE273" s="95"/>
      <c r="AF273" s="95"/>
      <c r="AG273" s="96"/>
      <c r="AH273" s="135"/>
      <c r="AI273" s="96"/>
      <c r="AJ273" s="135">
        <v>1</v>
      </c>
      <c r="AK273" s="95"/>
      <c r="AL273" s="95"/>
      <c r="AM273" s="95"/>
      <c r="AN273" s="96"/>
      <c r="AO273" s="135"/>
      <c r="AP273" s="96"/>
      <c r="AQ273" s="4"/>
      <c r="AR273" s="4"/>
      <c r="AS273" s="4"/>
    </row>
    <row r="274" spans="1:85" customHeight="1" ht="13.5">
      <c r="A274" s="4"/>
      <c r="B274" s="115"/>
      <c r="C274" s="116"/>
      <c r="D274" s="116"/>
      <c r="E274" s="117"/>
      <c r="F274" s="131" t="s">
        <v>36</v>
      </c>
      <c r="G274" s="116"/>
      <c r="H274" s="116"/>
      <c r="I274" s="117"/>
      <c r="J274" s="135">
        <f>SUM(J272:N273)</f>
        <v>4</v>
      </c>
      <c r="K274" s="95"/>
      <c r="L274" s="95"/>
      <c r="M274" s="95"/>
      <c r="N274" s="96"/>
      <c r="O274" s="135">
        <f>SUM(O272:S273)</f>
        <v>4</v>
      </c>
      <c r="P274" s="95"/>
      <c r="Q274" s="95"/>
      <c r="R274" s="95"/>
      <c r="S274" s="96"/>
      <c r="T274" s="135">
        <f>SUM(T272:X273)</f>
        <v>4</v>
      </c>
      <c r="U274" s="96"/>
      <c r="V274" s="135">
        <f>SUM(V272:Z273)</f>
        <v>4</v>
      </c>
      <c r="W274" s="95"/>
      <c r="X274" s="95"/>
      <c r="Y274" s="95"/>
      <c r="Z274" s="96"/>
      <c r="AA274" s="135">
        <f>SUM(AA272:AE273)</f>
        <v>1</v>
      </c>
      <c r="AB274" s="96"/>
      <c r="AC274" s="135">
        <f>SUM(AC272:AG273)</f>
        <v>1</v>
      </c>
      <c r="AD274" s="95"/>
      <c r="AE274" s="95"/>
      <c r="AF274" s="95"/>
      <c r="AG274" s="96"/>
      <c r="AH274" s="135">
        <f>SUM(AH272:AL273)</f>
        <v>2</v>
      </c>
      <c r="AI274" s="96"/>
      <c r="AJ274" s="135">
        <f>SUM(AJ272:AN273)</f>
        <v>2</v>
      </c>
      <c r="AK274" s="95"/>
      <c r="AL274" s="95"/>
      <c r="AM274" s="95"/>
      <c r="AN274" s="96"/>
      <c r="AO274" s="135">
        <f>SUM(AO272:AS273)</f>
        <v>0</v>
      </c>
      <c r="AP274" s="96"/>
      <c r="AQ274" s="4"/>
      <c r="AR274" s="4"/>
      <c r="AS274" s="4"/>
    </row>
    <row r="275" spans="1:85" customHeight="1" ht="13.5">
      <c r="A275" s="4"/>
      <c r="B275" s="126" t="s">
        <v>40</v>
      </c>
      <c r="C275" s="105"/>
      <c r="D275" s="105"/>
      <c r="E275" s="100"/>
      <c r="F275" s="128" t="s">
        <v>34</v>
      </c>
      <c r="G275" s="95"/>
      <c r="H275" s="95"/>
      <c r="I275" s="96"/>
      <c r="J275" s="135">
        <v>0</v>
      </c>
      <c r="K275" s="95"/>
      <c r="L275" s="95"/>
      <c r="M275" s="95"/>
      <c r="N275" s="96"/>
      <c r="O275" s="135">
        <v>0</v>
      </c>
      <c r="P275" s="95"/>
      <c r="Q275" s="95"/>
      <c r="R275" s="95"/>
      <c r="S275" s="96"/>
      <c r="T275" s="135"/>
      <c r="U275" s="96"/>
      <c r="V275" s="135">
        <v>0</v>
      </c>
      <c r="W275" s="95"/>
      <c r="X275" s="95"/>
      <c r="Y275" s="95"/>
      <c r="Z275" s="96"/>
      <c r="AA275" s="135"/>
      <c r="AB275" s="96"/>
      <c r="AC275" s="135">
        <v>0</v>
      </c>
      <c r="AD275" s="95"/>
      <c r="AE275" s="95"/>
      <c r="AF275" s="95"/>
      <c r="AG275" s="96"/>
      <c r="AH275" s="135"/>
      <c r="AI275" s="96"/>
      <c r="AJ275" s="135">
        <v>0</v>
      </c>
      <c r="AK275" s="95"/>
      <c r="AL275" s="95"/>
      <c r="AM275" s="95"/>
      <c r="AN275" s="96"/>
      <c r="AO275" s="135"/>
      <c r="AP275" s="96"/>
      <c r="AQ275" s="4"/>
      <c r="AR275" s="4"/>
      <c r="AS275" s="4"/>
    </row>
    <row r="276" spans="1:85" customHeight="1" ht="13.5">
      <c r="A276" s="4"/>
      <c r="B276" s="127"/>
      <c r="C276" s="105"/>
      <c r="D276" s="105"/>
      <c r="E276" s="100"/>
      <c r="F276" s="131" t="s">
        <v>35</v>
      </c>
      <c r="G276" s="116"/>
      <c r="H276" s="116"/>
      <c r="I276" s="117"/>
      <c r="J276" s="135">
        <v>0</v>
      </c>
      <c r="K276" s="95"/>
      <c r="L276" s="95"/>
      <c r="M276" s="95"/>
      <c r="N276" s="96"/>
      <c r="O276" s="135">
        <v>0</v>
      </c>
      <c r="P276" s="95"/>
      <c r="Q276" s="95"/>
      <c r="R276" s="95"/>
      <c r="S276" s="96"/>
      <c r="T276" s="135"/>
      <c r="U276" s="96"/>
      <c r="V276" s="135">
        <v>0</v>
      </c>
      <c r="W276" s="95"/>
      <c r="X276" s="95"/>
      <c r="Y276" s="95"/>
      <c r="Z276" s="96"/>
      <c r="AA276" s="135"/>
      <c r="AB276" s="96"/>
      <c r="AC276" s="135">
        <v>0</v>
      </c>
      <c r="AD276" s="95"/>
      <c r="AE276" s="95"/>
      <c r="AF276" s="95"/>
      <c r="AG276" s="96"/>
      <c r="AH276" s="135"/>
      <c r="AI276" s="96"/>
      <c r="AJ276" s="135">
        <v>0</v>
      </c>
      <c r="AK276" s="95"/>
      <c r="AL276" s="95"/>
      <c r="AM276" s="95"/>
      <c r="AN276" s="96"/>
      <c r="AO276" s="135"/>
      <c r="AP276" s="96"/>
      <c r="AQ276" s="4"/>
      <c r="AR276" s="4"/>
      <c r="AS276" s="4"/>
    </row>
    <row r="277" spans="1:85" customHeight="1" ht="13.5">
      <c r="A277" s="4"/>
      <c r="B277" s="115"/>
      <c r="C277" s="116"/>
      <c r="D277" s="116"/>
      <c r="E277" s="117"/>
      <c r="F277" s="131" t="s">
        <v>36</v>
      </c>
      <c r="G277" s="116"/>
      <c r="H277" s="116"/>
      <c r="I277" s="117"/>
      <c r="J277" s="135">
        <f>SUM(J275:N276)</f>
        <v>0</v>
      </c>
      <c r="K277" s="95"/>
      <c r="L277" s="95"/>
      <c r="M277" s="95"/>
      <c r="N277" s="96"/>
      <c r="O277" s="135">
        <f>SUM(O275:S276)</f>
        <v>0</v>
      </c>
      <c r="P277" s="95"/>
      <c r="Q277" s="95"/>
      <c r="R277" s="95"/>
      <c r="S277" s="96"/>
      <c r="T277" s="135">
        <f>SUM(T275:X276)</f>
        <v>0</v>
      </c>
      <c r="U277" s="96"/>
      <c r="V277" s="135">
        <f>SUM(V275:Z276)</f>
        <v>0</v>
      </c>
      <c r="W277" s="95"/>
      <c r="X277" s="95"/>
      <c r="Y277" s="95"/>
      <c r="Z277" s="96"/>
      <c r="AA277" s="135">
        <f>SUM(AA275:AE276)</f>
        <v>0</v>
      </c>
      <c r="AB277" s="96"/>
      <c r="AC277" s="135">
        <f>SUM(AC275:AG276)</f>
        <v>0</v>
      </c>
      <c r="AD277" s="95"/>
      <c r="AE277" s="95"/>
      <c r="AF277" s="95"/>
      <c r="AG277" s="96"/>
      <c r="AH277" s="135">
        <f>SUM(AH275:AL276)</f>
        <v>0</v>
      </c>
      <c r="AI277" s="96"/>
      <c r="AJ277" s="135">
        <f>SUM(AJ275:AN276)</f>
        <v>0</v>
      </c>
      <c r="AK277" s="95"/>
      <c r="AL277" s="95"/>
      <c r="AM277" s="95"/>
      <c r="AN277" s="96"/>
      <c r="AO277" s="135">
        <f>SUM(AO275:AS276)</f>
        <v>0</v>
      </c>
      <c r="AP277" s="96"/>
      <c r="AQ277" s="4"/>
      <c r="AR277" s="4"/>
      <c r="AS277" s="4"/>
    </row>
    <row r="278" spans="1:85" customHeight="1" ht="13.5">
      <c r="A278" s="4"/>
      <c r="B278" s="126" t="s">
        <v>41</v>
      </c>
      <c r="C278" s="105"/>
      <c r="D278" s="105"/>
      <c r="E278" s="100"/>
      <c r="F278" s="128" t="s">
        <v>34</v>
      </c>
      <c r="G278" s="95"/>
      <c r="H278" s="95"/>
      <c r="I278" s="96"/>
      <c r="J278" s="135">
        <v>0</v>
      </c>
      <c r="K278" s="95"/>
      <c r="L278" s="95"/>
      <c r="M278" s="95"/>
      <c r="N278" s="96"/>
      <c r="O278" s="135">
        <v>0</v>
      </c>
      <c r="P278" s="95"/>
      <c r="Q278" s="95"/>
      <c r="R278" s="95"/>
      <c r="S278" s="96"/>
      <c r="T278" s="135"/>
      <c r="U278" s="96"/>
      <c r="V278" s="135">
        <v>0</v>
      </c>
      <c r="W278" s="95"/>
      <c r="X278" s="95"/>
      <c r="Y278" s="95"/>
      <c r="Z278" s="96"/>
      <c r="AA278" s="135"/>
      <c r="AB278" s="96"/>
      <c r="AC278" s="135">
        <v>0</v>
      </c>
      <c r="AD278" s="95"/>
      <c r="AE278" s="95"/>
      <c r="AF278" s="95"/>
      <c r="AG278" s="96"/>
      <c r="AH278" s="135"/>
      <c r="AI278" s="96"/>
      <c r="AJ278" s="135">
        <v>0</v>
      </c>
      <c r="AK278" s="95"/>
      <c r="AL278" s="95"/>
      <c r="AM278" s="95"/>
      <c r="AN278" s="96"/>
      <c r="AO278" s="135"/>
      <c r="AP278" s="96"/>
      <c r="AQ278" s="4"/>
      <c r="AR278" s="4"/>
      <c r="AS278" s="4"/>
    </row>
    <row r="279" spans="1:85" customHeight="1" ht="13.5">
      <c r="A279" s="4"/>
      <c r="B279" s="127"/>
      <c r="C279" s="105"/>
      <c r="D279" s="105"/>
      <c r="E279" s="100"/>
      <c r="F279" s="131" t="s">
        <v>35</v>
      </c>
      <c r="G279" s="116"/>
      <c r="H279" s="116"/>
      <c r="I279" s="117"/>
      <c r="J279" s="135">
        <v>0</v>
      </c>
      <c r="K279" s="95"/>
      <c r="L279" s="95"/>
      <c r="M279" s="95"/>
      <c r="N279" s="96"/>
      <c r="O279" s="135">
        <v>0</v>
      </c>
      <c r="P279" s="95"/>
      <c r="Q279" s="95"/>
      <c r="R279" s="95"/>
      <c r="S279" s="96"/>
      <c r="T279" s="135"/>
      <c r="U279" s="96"/>
      <c r="V279" s="135">
        <v>0</v>
      </c>
      <c r="W279" s="95"/>
      <c r="X279" s="95"/>
      <c r="Y279" s="95"/>
      <c r="Z279" s="96"/>
      <c r="AA279" s="135"/>
      <c r="AB279" s="96"/>
      <c r="AC279" s="135">
        <v>0</v>
      </c>
      <c r="AD279" s="95"/>
      <c r="AE279" s="95"/>
      <c r="AF279" s="95"/>
      <c r="AG279" s="96"/>
      <c r="AH279" s="135"/>
      <c r="AI279" s="96"/>
      <c r="AJ279" s="135">
        <v>0</v>
      </c>
      <c r="AK279" s="95"/>
      <c r="AL279" s="95"/>
      <c r="AM279" s="95"/>
      <c r="AN279" s="96"/>
      <c r="AO279" s="135"/>
      <c r="AP279" s="96"/>
      <c r="AQ279" s="4"/>
      <c r="AR279" s="4"/>
      <c r="AS279" s="4"/>
    </row>
    <row r="280" spans="1:85" customHeight="1" ht="13.5">
      <c r="A280" s="4"/>
      <c r="B280" s="115"/>
      <c r="C280" s="116"/>
      <c r="D280" s="116"/>
      <c r="E280" s="117"/>
      <c r="F280" s="131" t="s">
        <v>36</v>
      </c>
      <c r="G280" s="116"/>
      <c r="H280" s="116"/>
      <c r="I280" s="117"/>
      <c r="J280" s="135">
        <f>SUM(J278:N279)</f>
        <v>0</v>
      </c>
      <c r="K280" s="95"/>
      <c r="L280" s="95"/>
      <c r="M280" s="95"/>
      <c r="N280" s="96"/>
      <c r="O280" s="135">
        <f>SUM(O278:S279)</f>
        <v>0</v>
      </c>
      <c r="P280" s="95"/>
      <c r="Q280" s="95"/>
      <c r="R280" s="95"/>
      <c r="S280" s="96"/>
      <c r="T280" s="135">
        <f>SUM(T278:X279)</f>
        <v>0</v>
      </c>
      <c r="U280" s="96"/>
      <c r="V280" s="135">
        <f>SUM(V278:Z279)</f>
        <v>0</v>
      </c>
      <c r="W280" s="95"/>
      <c r="X280" s="95"/>
      <c r="Y280" s="95"/>
      <c r="Z280" s="96"/>
      <c r="AA280" s="135">
        <f>SUM(AA278:AE279)</f>
        <v>0</v>
      </c>
      <c r="AB280" s="96"/>
      <c r="AC280" s="135">
        <f>SUM(AC278:AG279)</f>
        <v>0</v>
      </c>
      <c r="AD280" s="95"/>
      <c r="AE280" s="95"/>
      <c r="AF280" s="95"/>
      <c r="AG280" s="96"/>
      <c r="AH280" s="135">
        <f>SUM(AH278:AL279)</f>
        <v>0</v>
      </c>
      <c r="AI280" s="96"/>
      <c r="AJ280" s="135">
        <f>SUM(AJ278:AN279)</f>
        <v>0</v>
      </c>
      <c r="AK280" s="95"/>
      <c r="AL280" s="95"/>
      <c r="AM280" s="95"/>
      <c r="AN280" s="96"/>
      <c r="AO280" s="135">
        <f>SUM(AO278:AS279)</f>
        <v>0</v>
      </c>
      <c r="AP280" s="96"/>
      <c r="AQ280" s="4"/>
      <c r="AR280" s="4"/>
      <c r="AS280" s="4"/>
    </row>
    <row r="281" spans="1:85" customHeight="1" ht="13.5">
      <c r="A281" s="4"/>
      <c r="B281" s="126" t="s">
        <v>42</v>
      </c>
      <c r="C281" s="105"/>
      <c r="D281" s="105"/>
      <c r="E281" s="100"/>
      <c r="F281" s="128" t="s">
        <v>34</v>
      </c>
      <c r="G281" s="95"/>
      <c r="H281" s="95"/>
      <c r="I281" s="96"/>
      <c r="J281" s="135">
        <v>0</v>
      </c>
      <c r="K281" s="95"/>
      <c r="L281" s="95"/>
      <c r="M281" s="95"/>
      <c r="N281" s="96"/>
      <c r="O281" s="135">
        <v>0</v>
      </c>
      <c r="P281" s="95"/>
      <c r="Q281" s="95"/>
      <c r="R281" s="95"/>
      <c r="S281" s="96"/>
      <c r="T281" s="135"/>
      <c r="U281" s="96"/>
      <c r="V281" s="135">
        <v>0</v>
      </c>
      <c r="W281" s="95"/>
      <c r="X281" s="95"/>
      <c r="Y281" s="95"/>
      <c r="Z281" s="96"/>
      <c r="AA281" s="135"/>
      <c r="AB281" s="96"/>
      <c r="AC281" s="135">
        <v>0</v>
      </c>
      <c r="AD281" s="95"/>
      <c r="AE281" s="95"/>
      <c r="AF281" s="95"/>
      <c r="AG281" s="96"/>
      <c r="AH281" s="135"/>
      <c r="AI281" s="96"/>
      <c r="AJ281" s="135">
        <v>0</v>
      </c>
      <c r="AK281" s="95"/>
      <c r="AL281" s="95"/>
      <c r="AM281" s="95"/>
      <c r="AN281" s="96"/>
      <c r="AO281" s="135"/>
      <c r="AP281" s="96"/>
      <c r="AQ281" s="4"/>
      <c r="AR281" s="4"/>
      <c r="AS281" s="4"/>
    </row>
    <row r="282" spans="1:85" customHeight="1" ht="13.5">
      <c r="A282" s="4"/>
      <c r="B282" s="127"/>
      <c r="C282" s="105"/>
      <c r="D282" s="105"/>
      <c r="E282" s="100"/>
      <c r="F282" s="131" t="s">
        <v>35</v>
      </c>
      <c r="G282" s="116"/>
      <c r="H282" s="116"/>
      <c r="I282" s="117"/>
      <c r="J282" s="135">
        <v>0</v>
      </c>
      <c r="K282" s="95"/>
      <c r="L282" s="95"/>
      <c r="M282" s="95"/>
      <c r="N282" s="96"/>
      <c r="O282" s="135">
        <v>0</v>
      </c>
      <c r="P282" s="95"/>
      <c r="Q282" s="95"/>
      <c r="R282" s="95"/>
      <c r="S282" s="96"/>
      <c r="T282" s="135"/>
      <c r="U282" s="96"/>
      <c r="V282" s="135">
        <v>0</v>
      </c>
      <c r="W282" s="95"/>
      <c r="X282" s="95"/>
      <c r="Y282" s="95"/>
      <c r="Z282" s="96"/>
      <c r="AA282" s="135"/>
      <c r="AB282" s="96"/>
      <c r="AC282" s="135">
        <v>0</v>
      </c>
      <c r="AD282" s="95"/>
      <c r="AE282" s="95"/>
      <c r="AF282" s="95"/>
      <c r="AG282" s="96"/>
      <c r="AH282" s="135"/>
      <c r="AI282" s="96"/>
      <c r="AJ282" s="135">
        <v>0</v>
      </c>
      <c r="AK282" s="95"/>
      <c r="AL282" s="95"/>
      <c r="AM282" s="95"/>
      <c r="AN282" s="96"/>
      <c r="AO282" s="135"/>
      <c r="AP282" s="96"/>
      <c r="AQ282" s="4"/>
      <c r="AR282" s="4"/>
      <c r="AS282" s="4"/>
    </row>
    <row r="283" spans="1:85" customHeight="1" ht="13.5">
      <c r="A283" s="4"/>
      <c r="B283" s="115"/>
      <c r="C283" s="116"/>
      <c r="D283" s="116"/>
      <c r="E283" s="117"/>
      <c r="F283" s="131" t="s">
        <v>36</v>
      </c>
      <c r="G283" s="116"/>
      <c r="H283" s="116"/>
      <c r="I283" s="117"/>
      <c r="J283" s="135">
        <f>SUM(J281:N282)</f>
        <v>0</v>
      </c>
      <c r="K283" s="95"/>
      <c r="L283" s="95"/>
      <c r="M283" s="95"/>
      <c r="N283" s="96"/>
      <c r="O283" s="135">
        <f>SUM(O281:S282)</f>
        <v>0</v>
      </c>
      <c r="P283" s="95"/>
      <c r="Q283" s="95"/>
      <c r="R283" s="95"/>
      <c r="S283" s="96"/>
      <c r="T283" s="135">
        <f>SUM(T281:X282)</f>
        <v>0</v>
      </c>
      <c r="U283" s="96"/>
      <c r="V283" s="135">
        <f>SUM(V281:Z282)</f>
        <v>0</v>
      </c>
      <c r="W283" s="95"/>
      <c r="X283" s="95"/>
      <c r="Y283" s="95"/>
      <c r="Z283" s="96"/>
      <c r="AA283" s="135">
        <f>SUM(AA281:AE282)</f>
        <v>0</v>
      </c>
      <c r="AB283" s="96"/>
      <c r="AC283" s="135">
        <f>SUM(AC281:AG282)</f>
        <v>0</v>
      </c>
      <c r="AD283" s="95"/>
      <c r="AE283" s="95"/>
      <c r="AF283" s="95"/>
      <c r="AG283" s="96"/>
      <c r="AH283" s="135">
        <f>SUM(AH281:AL282)</f>
        <v>0</v>
      </c>
      <c r="AI283" s="96"/>
      <c r="AJ283" s="135">
        <f>SUM(AJ281:AN282)</f>
        <v>0</v>
      </c>
      <c r="AK283" s="95"/>
      <c r="AL283" s="95"/>
      <c r="AM283" s="95"/>
      <c r="AN283" s="96"/>
      <c r="AO283" s="135">
        <f>SUM(AO281:AS282)</f>
        <v>0</v>
      </c>
      <c r="AP283" s="96"/>
      <c r="AQ283" s="4"/>
      <c r="AR283" s="4"/>
      <c r="AS283" s="4"/>
    </row>
    <row r="284" spans="1:85" customHeight="1" ht="13.5">
      <c r="A284" s="4"/>
      <c r="B284" s="126" t="s">
        <v>43</v>
      </c>
      <c r="C284" s="105"/>
      <c r="D284" s="105"/>
      <c r="E284" s="100"/>
      <c r="F284" s="128" t="s">
        <v>34</v>
      </c>
      <c r="G284" s="95"/>
      <c r="H284" s="95"/>
      <c r="I284" s="96"/>
      <c r="J284" s="135">
        <v>0</v>
      </c>
      <c r="K284" s="95"/>
      <c r="L284" s="95"/>
      <c r="M284" s="95"/>
      <c r="N284" s="96"/>
      <c r="O284" s="135">
        <v>0</v>
      </c>
      <c r="P284" s="95"/>
      <c r="Q284" s="95"/>
      <c r="R284" s="95"/>
      <c r="S284" s="96"/>
      <c r="T284" s="135"/>
      <c r="U284" s="96"/>
      <c r="V284" s="135">
        <v>0</v>
      </c>
      <c r="W284" s="95"/>
      <c r="X284" s="95"/>
      <c r="Y284" s="95"/>
      <c r="Z284" s="96"/>
      <c r="AA284" s="135"/>
      <c r="AB284" s="96"/>
      <c r="AC284" s="135">
        <v>0</v>
      </c>
      <c r="AD284" s="95"/>
      <c r="AE284" s="95"/>
      <c r="AF284" s="95"/>
      <c r="AG284" s="96"/>
      <c r="AH284" s="135"/>
      <c r="AI284" s="96"/>
      <c r="AJ284" s="135">
        <v>0</v>
      </c>
      <c r="AK284" s="95"/>
      <c r="AL284" s="95"/>
      <c r="AM284" s="95"/>
      <c r="AN284" s="96"/>
      <c r="AO284" s="135"/>
      <c r="AP284" s="96"/>
      <c r="AQ284" s="4"/>
      <c r="AR284" s="4"/>
      <c r="AS284" s="4"/>
    </row>
    <row r="285" spans="1:85" customHeight="1" ht="13.5">
      <c r="A285" s="4"/>
      <c r="B285" s="127"/>
      <c r="C285" s="105"/>
      <c r="D285" s="105"/>
      <c r="E285" s="100"/>
      <c r="F285" s="131" t="s">
        <v>35</v>
      </c>
      <c r="G285" s="116"/>
      <c r="H285" s="116"/>
      <c r="I285" s="117"/>
      <c r="J285" s="135">
        <v>0</v>
      </c>
      <c r="K285" s="95"/>
      <c r="L285" s="95"/>
      <c r="M285" s="95"/>
      <c r="N285" s="96"/>
      <c r="O285" s="135">
        <v>0</v>
      </c>
      <c r="P285" s="95"/>
      <c r="Q285" s="95"/>
      <c r="R285" s="95"/>
      <c r="S285" s="96"/>
      <c r="T285" s="135"/>
      <c r="U285" s="96"/>
      <c r="V285" s="135">
        <v>0</v>
      </c>
      <c r="W285" s="95"/>
      <c r="X285" s="95"/>
      <c r="Y285" s="95"/>
      <c r="Z285" s="96"/>
      <c r="AA285" s="135"/>
      <c r="AB285" s="96"/>
      <c r="AC285" s="135">
        <v>0</v>
      </c>
      <c r="AD285" s="95"/>
      <c r="AE285" s="95"/>
      <c r="AF285" s="95"/>
      <c r="AG285" s="96"/>
      <c r="AH285" s="135"/>
      <c r="AI285" s="96"/>
      <c r="AJ285" s="135">
        <v>0</v>
      </c>
      <c r="AK285" s="95"/>
      <c r="AL285" s="95"/>
      <c r="AM285" s="95"/>
      <c r="AN285" s="96"/>
      <c r="AO285" s="135"/>
      <c r="AP285" s="96"/>
      <c r="AQ285" s="4"/>
      <c r="AR285" s="4"/>
      <c r="AS285" s="4"/>
    </row>
    <row r="286" spans="1:85" customHeight="1" ht="13.5">
      <c r="A286" s="4"/>
      <c r="B286" s="115"/>
      <c r="C286" s="116"/>
      <c r="D286" s="116"/>
      <c r="E286" s="117"/>
      <c r="F286" s="131" t="s">
        <v>36</v>
      </c>
      <c r="G286" s="116"/>
      <c r="H286" s="116"/>
      <c r="I286" s="117"/>
      <c r="J286" s="135">
        <f>SUM(J284:N285)</f>
        <v>0</v>
      </c>
      <c r="K286" s="95"/>
      <c r="L286" s="95"/>
      <c r="M286" s="95"/>
      <c r="N286" s="96"/>
      <c r="O286" s="135">
        <f>SUM(O284:S285)</f>
        <v>0</v>
      </c>
      <c r="P286" s="95"/>
      <c r="Q286" s="95"/>
      <c r="R286" s="95"/>
      <c r="S286" s="96"/>
      <c r="T286" s="135">
        <f>SUM(T284:X285)</f>
        <v>0</v>
      </c>
      <c r="U286" s="96"/>
      <c r="V286" s="135">
        <f>SUM(V284:Z285)</f>
        <v>0</v>
      </c>
      <c r="W286" s="95"/>
      <c r="X286" s="95"/>
      <c r="Y286" s="95"/>
      <c r="Z286" s="96"/>
      <c r="AA286" s="135">
        <f>SUM(AA284:AE285)</f>
        <v>0</v>
      </c>
      <c r="AB286" s="96"/>
      <c r="AC286" s="135">
        <f>SUM(AC284:AG285)</f>
        <v>0</v>
      </c>
      <c r="AD286" s="95"/>
      <c r="AE286" s="95"/>
      <c r="AF286" s="95"/>
      <c r="AG286" s="96"/>
      <c r="AH286" s="135">
        <f>SUM(AH284:AL285)</f>
        <v>0</v>
      </c>
      <c r="AI286" s="96"/>
      <c r="AJ286" s="135">
        <f>SUM(AJ284:AN285)</f>
        <v>0</v>
      </c>
      <c r="AK286" s="95"/>
      <c r="AL286" s="95"/>
      <c r="AM286" s="95"/>
      <c r="AN286" s="96"/>
      <c r="AO286" s="135">
        <f>SUM(AO284:AS285)</f>
        <v>0</v>
      </c>
      <c r="AP286" s="96"/>
      <c r="AQ286" s="4"/>
      <c r="AR286" s="4"/>
      <c r="AS286" s="4"/>
    </row>
    <row r="287" spans="1:85" customHeight="1" ht="13.5">
      <c r="A287" s="4"/>
      <c r="B287" s="126" t="s">
        <v>44</v>
      </c>
      <c r="C287" s="105"/>
      <c r="D287" s="105"/>
      <c r="E287" s="100"/>
      <c r="F287" s="128" t="s">
        <v>34</v>
      </c>
      <c r="G287" s="95"/>
      <c r="H287" s="95"/>
      <c r="I287" s="96"/>
      <c r="J287" s="135">
        <v>0</v>
      </c>
      <c r="K287" s="95"/>
      <c r="L287" s="95"/>
      <c r="M287" s="95"/>
      <c r="N287" s="96"/>
      <c r="O287" s="135"/>
      <c r="P287" s="95"/>
      <c r="Q287" s="95"/>
      <c r="R287" s="95"/>
      <c r="S287" s="96"/>
      <c r="T287" s="135"/>
      <c r="U287" s="96"/>
      <c r="V287" s="135"/>
      <c r="W287" s="95"/>
      <c r="X287" s="95"/>
      <c r="Y287" s="95"/>
      <c r="Z287" s="96"/>
      <c r="AA287" s="135"/>
      <c r="AB287" s="96"/>
      <c r="AC287" s="135"/>
      <c r="AD287" s="95"/>
      <c r="AE287" s="95"/>
      <c r="AF287" s="95"/>
      <c r="AG287" s="96"/>
      <c r="AH287" s="135"/>
      <c r="AI287" s="96"/>
      <c r="AJ287" s="135"/>
      <c r="AK287" s="95"/>
      <c r="AL287" s="95"/>
      <c r="AM287" s="95"/>
      <c r="AN287" s="96"/>
      <c r="AO287" s="135"/>
      <c r="AP287" s="96"/>
      <c r="AQ287" s="4"/>
      <c r="AR287" s="4"/>
      <c r="AS287" s="4"/>
    </row>
    <row r="288" spans="1:85" customHeight="1" ht="13.5">
      <c r="A288" s="4"/>
      <c r="B288" s="127"/>
      <c r="C288" s="105"/>
      <c r="D288" s="105"/>
      <c r="E288" s="100"/>
      <c r="F288" s="131" t="s">
        <v>35</v>
      </c>
      <c r="G288" s="116"/>
      <c r="H288" s="116"/>
      <c r="I288" s="117"/>
      <c r="J288" s="135">
        <v>0</v>
      </c>
      <c r="K288" s="95"/>
      <c r="L288" s="95"/>
      <c r="M288" s="95"/>
      <c r="N288" s="96"/>
      <c r="O288" s="135"/>
      <c r="P288" s="95"/>
      <c r="Q288" s="95"/>
      <c r="R288" s="95"/>
      <c r="S288" s="96"/>
      <c r="T288" s="135"/>
      <c r="U288" s="96"/>
      <c r="V288" s="135"/>
      <c r="W288" s="95"/>
      <c r="X288" s="95"/>
      <c r="Y288" s="95"/>
      <c r="Z288" s="96"/>
      <c r="AA288" s="135"/>
      <c r="AB288" s="96"/>
      <c r="AC288" s="135"/>
      <c r="AD288" s="95"/>
      <c r="AE288" s="95"/>
      <c r="AF288" s="95"/>
      <c r="AG288" s="96"/>
      <c r="AH288" s="135"/>
      <c r="AI288" s="96"/>
      <c r="AJ288" s="135"/>
      <c r="AK288" s="95"/>
      <c r="AL288" s="95"/>
      <c r="AM288" s="95"/>
      <c r="AN288" s="96"/>
      <c r="AO288" s="135"/>
      <c r="AP288" s="96"/>
      <c r="AQ288" s="4"/>
      <c r="AR288" s="4"/>
      <c r="AS288" s="4"/>
    </row>
    <row r="289" spans="1:85" customHeight="1" ht="13.5">
      <c r="A289" s="4"/>
      <c r="B289" s="115"/>
      <c r="C289" s="116"/>
      <c r="D289" s="116"/>
      <c r="E289" s="117"/>
      <c r="F289" s="131" t="s">
        <v>36</v>
      </c>
      <c r="G289" s="116"/>
      <c r="H289" s="116"/>
      <c r="I289" s="117"/>
      <c r="J289" s="135">
        <f>SUM(J287:N288)</f>
        <v>0</v>
      </c>
      <c r="K289" s="95"/>
      <c r="L289" s="95"/>
      <c r="M289" s="95"/>
      <c r="N289" s="96"/>
      <c r="O289" s="135">
        <f>SUM(O287:S288)</f>
        <v>0</v>
      </c>
      <c r="P289" s="95"/>
      <c r="Q289" s="95"/>
      <c r="R289" s="95"/>
      <c r="S289" s="96"/>
      <c r="T289" s="135">
        <f>SUM(T287:X288)</f>
        <v>0</v>
      </c>
      <c r="U289" s="96"/>
      <c r="V289" s="135">
        <f>SUM(V287:Z288)</f>
        <v>0</v>
      </c>
      <c r="W289" s="95"/>
      <c r="X289" s="95"/>
      <c r="Y289" s="95"/>
      <c r="Z289" s="96"/>
      <c r="AA289" s="135">
        <f>SUM(AA287:AE288)</f>
        <v>0</v>
      </c>
      <c r="AB289" s="96"/>
      <c r="AC289" s="135">
        <f>SUM(AC287:AG288)</f>
        <v>0</v>
      </c>
      <c r="AD289" s="95"/>
      <c r="AE289" s="95"/>
      <c r="AF289" s="95"/>
      <c r="AG289" s="96"/>
      <c r="AH289" s="135">
        <f>SUM(AH287:AL288)</f>
        <v>0</v>
      </c>
      <c r="AI289" s="96"/>
      <c r="AJ289" s="135">
        <f>SUM(AJ287:AN288)</f>
        <v>0</v>
      </c>
      <c r="AK289" s="95"/>
      <c r="AL289" s="95"/>
      <c r="AM289" s="95"/>
      <c r="AN289" s="96"/>
      <c r="AO289" s="135">
        <f>SUM(AO287:AS288)</f>
        <v>0</v>
      </c>
      <c r="AP289" s="96"/>
      <c r="AQ289" s="4"/>
      <c r="AR289" s="4"/>
      <c r="AS289" s="4"/>
    </row>
    <row r="290" spans="1:85" customHeight="1" ht="13.5">
      <c r="A290" s="4"/>
      <c r="B290" s="134" t="s">
        <v>45</v>
      </c>
      <c r="C290" s="91"/>
      <c r="D290" s="91"/>
      <c r="E290" s="93"/>
      <c r="F290" s="128" t="s">
        <v>34</v>
      </c>
      <c r="G290" s="95"/>
      <c r="H290" s="95"/>
      <c r="I290" s="96"/>
      <c r="J290" s="135">
        <f>SUM(J287,J284,J281,J278,J275,J272,J269,J266,J263)</f>
        <v>222</v>
      </c>
      <c r="K290" s="95"/>
      <c r="L290" s="95"/>
      <c r="M290" s="95"/>
      <c r="N290" s="96"/>
      <c r="O290" s="135">
        <f>SUM(O287,O284,O281,O278,O275,O272,O269,O266,O263)</f>
        <v>222</v>
      </c>
      <c r="P290" s="95"/>
      <c r="Q290" s="95"/>
      <c r="R290" s="95"/>
      <c r="S290" s="96"/>
      <c r="T290" s="135"/>
      <c r="U290" s="96"/>
      <c r="V290" s="135">
        <f>SUM(V287,V284,V281,V278,V275,V272,V269,V266,V263)</f>
        <v>112</v>
      </c>
      <c r="W290" s="95"/>
      <c r="X290" s="95"/>
      <c r="Y290" s="95"/>
      <c r="Z290" s="96"/>
      <c r="AA290" s="135"/>
      <c r="AB290" s="96"/>
      <c r="AC290" s="135">
        <f>SUM(AC287,AC284,AC281,AC278,AC275,AC272,AC269,AC266,AC263)</f>
        <v>114</v>
      </c>
      <c r="AD290" s="95"/>
      <c r="AE290" s="95"/>
      <c r="AF290" s="95"/>
      <c r="AG290" s="96"/>
      <c r="AH290" s="135"/>
      <c r="AI290" s="96"/>
      <c r="AJ290" s="135">
        <f>SUM(AJ287,AJ284,AJ281,AJ278,AJ275,AJ272,AJ269,AJ266,AJ263)</f>
        <v>123</v>
      </c>
      <c r="AK290" s="95"/>
      <c r="AL290" s="95"/>
      <c r="AM290" s="95"/>
      <c r="AN290" s="96"/>
      <c r="AO290" s="135"/>
      <c r="AP290" s="96"/>
      <c r="AQ290" s="4"/>
      <c r="AR290" s="4"/>
      <c r="AS290" s="4"/>
    </row>
    <row r="291" spans="1:85" customHeight="1" ht="13.5">
      <c r="A291" s="4"/>
      <c r="B291" s="127"/>
      <c r="C291" s="105"/>
      <c r="D291" s="105"/>
      <c r="E291" s="100"/>
      <c r="F291" s="131" t="s">
        <v>35</v>
      </c>
      <c r="G291" s="116"/>
      <c r="H291" s="116"/>
      <c r="I291" s="117"/>
      <c r="J291" s="135">
        <f>SUM(J288,J285,J282,J279,J276,J273,J270,J267,J264)</f>
        <v>228</v>
      </c>
      <c r="K291" s="95"/>
      <c r="L291" s="95"/>
      <c r="M291" s="95"/>
      <c r="N291" s="96"/>
      <c r="O291" s="135">
        <f>SUM(O288,O285,O282,O279,O276,O273,O270,O267,O264)</f>
        <v>228</v>
      </c>
      <c r="P291" s="95"/>
      <c r="Q291" s="95"/>
      <c r="R291" s="95"/>
      <c r="S291" s="96"/>
      <c r="T291" s="135"/>
      <c r="U291" s="96"/>
      <c r="V291" s="135">
        <f>SUM(V288,V285,V282,V279,V276,V273,V270,V267,V264)</f>
        <v>104</v>
      </c>
      <c r="W291" s="95"/>
      <c r="X291" s="95"/>
      <c r="Y291" s="95"/>
      <c r="Z291" s="96"/>
      <c r="AA291" s="135"/>
      <c r="AB291" s="96"/>
      <c r="AC291" s="135">
        <f>SUM(AC288,AC285,AC282,AC279,AC276,AC273,AC270,AC267,AC264)</f>
        <v>114</v>
      </c>
      <c r="AD291" s="95"/>
      <c r="AE291" s="95"/>
      <c r="AF291" s="95"/>
      <c r="AG291" s="96"/>
      <c r="AH291" s="135"/>
      <c r="AI291" s="96"/>
      <c r="AJ291" s="135">
        <f>SUM(AJ288,AJ285,AJ282,AJ279,AJ276,AJ273,AJ270,AJ267,AJ264)</f>
        <v>117</v>
      </c>
      <c r="AK291" s="95"/>
      <c r="AL291" s="95"/>
      <c r="AM291" s="95"/>
      <c r="AN291" s="96"/>
      <c r="AO291" s="135"/>
      <c r="AP291" s="96"/>
      <c r="AQ291" s="4"/>
      <c r="AR291" s="4"/>
      <c r="AS291" s="4"/>
    </row>
    <row r="292" spans="1:85" customHeight="1" ht="13.5">
      <c r="A292" s="4"/>
      <c r="B292" s="115"/>
      <c r="C292" s="116"/>
      <c r="D292" s="116"/>
      <c r="E292" s="117"/>
      <c r="F292" s="131" t="s">
        <v>36</v>
      </c>
      <c r="G292" s="116"/>
      <c r="H292" s="116"/>
      <c r="I292" s="117"/>
      <c r="J292" s="135">
        <f>SUM(J265,J268,J271,J274,J277,J280,J283,J286,J289)</f>
        <v>450</v>
      </c>
      <c r="K292" s="95"/>
      <c r="L292" s="95"/>
      <c r="M292" s="95"/>
      <c r="N292" s="96"/>
      <c r="O292" s="135">
        <f>SUM(O265,O268,O271,O274,O277,O280,O283,O286,O289)</f>
        <v>450</v>
      </c>
      <c r="P292" s="95"/>
      <c r="Q292" s="95"/>
      <c r="R292" s="95"/>
      <c r="S292" s="96"/>
      <c r="T292" s="135">
        <f>SUM(T265,T268,T271,T274,T277,T280,T283,T286,T289)</f>
        <v>216</v>
      </c>
      <c r="U292" s="96"/>
      <c r="V292" s="135">
        <f>SUM(V265,V268,V271,V274,V277,V280,V283,V286,V289)</f>
        <v>216</v>
      </c>
      <c r="W292" s="95"/>
      <c r="X292" s="95"/>
      <c r="Y292" s="95"/>
      <c r="Z292" s="96"/>
      <c r="AA292" s="135">
        <f>SUM(AA265,AA268,AA271,AA274,AA277,AA280,AA283,AA286,AA289)</f>
        <v>228</v>
      </c>
      <c r="AB292" s="96"/>
      <c r="AC292" s="135">
        <f>SUM(AC265,AC268,AC271,AC274,AC277,AC280,AC283,AC286,AC289)</f>
        <v>228</v>
      </c>
      <c r="AD292" s="95"/>
      <c r="AE292" s="95"/>
      <c r="AF292" s="95"/>
      <c r="AG292" s="96"/>
      <c r="AH292" s="135">
        <f>SUM(AH265,AH268,AH271,AH274,AH277,AH280,AH283,AH286,AH289)</f>
        <v>240</v>
      </c>
      <c r="AI292" s="96"/>
      <c r="AJ292" s="135">
        <f>SUM(AJ265,AJ268,AJ271,AJ274,AJ277,AJ280,AJ283,AJ286,AJ289)</f>
        <v>240</v>
      </c>
      <c r="AK292" s="95"/>
      <c r="AL292" s="95"/>
      <c r="AM292" s="95"/>
      <c r="AN292" s="96"/>
      <c r="AO292" s="135">
        <f>SUM(AO265,AO268,AO271,AO274,AO277,AO280,AO283,AO286,AO289)</f>
        <v>0</v>
      </c>
      <c r="AP292" s="96"/>
      <c r="AQ292" s="4"/>
      <c r="AR292" s="4"/>
      <c r="AS292" s="4"/>
    </row>
    <row r="293" spans="1:85" customHeight="1" ht="13.5">
      <c r="A293" s="4"/>
      <c r="B293" s="17"/>
      <c r="C293" s="17"/>
      <c r="D293" s="17"/>
      <c r="E293" s="17"/>
      <c r="F293" s="17"/>
      <c r="G293" s="17"/>
      <c r="H293" s="17"/>
      <c r="I293" s="17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4"/>
      <c r="AR293" s="4"/>
      <c r="AS293" s="4"/>
    </row>
    <row r="294" spans="1:85" customHeight="1" ht="13.5">
      <c r="A294" s="4"/>
      <c r="B294" s="44"/>
      <c r="C294" s="159" t="s">
        <v>68</v>
      </c>
      <c r="D294" s="159"/>
      <c r="E294" s="159"/>
      <c r="F294" s="159"/>
      <c r="G294" s="159"/>
      <c r="H294" s="159"/>
      <c r="I294" s="159"/>
      <c r="J294" s="159"/>
      <c r="K294" s="159"/>
      <c r="L294" s="159"/>
      <c r="M294" s="159"/>
      <c r="N294" s="159"/>
      <c r="O294" s="159"/>
      <c r="P294" s="159"/>
      <c r="Q294" s="159"/>
      <c r="R294" s="159"/>
      <c r="S294" s="159"/>
      <c r="T294" s="159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U294" s="45"/>
      <c r="BV294" s="45"/>
      <c r="BW294" s="45"/>
      <c r="BX294" s="45"/>
      <c r="BY294" s="45"/>
      <c r="BZ294" s="45"/>
      <c r="CA294" s="45"/>
    </row>
    <row r="295" spans="1:85" customHeight="1" ht="13.5">
      <c r="A295" s="41"/>
      <c r="B295" s="118" t="s">
        <v>69</v>
      </c>
      <c r="C295" s="118"/>
      <c r="D295" s="118"/>
      <c r="E295" s="118"/>
      <c r="F295" s="165" t="s">
        <v>23</v>
      </c>
      <c r="G295" s="118"/>
      <c r="H295" s="118"/>
      <c r="I295" s="118"/>
      <c r="J295" s="86" t="s">
        <v>70</v>
      </c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  <c r="AQ295" s="86"/>
      <c r="AR295" s="86"/>
      <c r="AS295" s="86"/>
      <c r="AT295" s="86"/>
      <c r="AU295" s="86"/>
      <c r="AV295" s="86"/>
      <c r="AW295" s="86"/>
      <c r="AX295" s="86"/>
      <c r="AY295" s="86"/>
      <c r="AZ295" s="86"/>
      <c r="BA295" s="86"/>
      <c r="BB295" s="86"/>
      <c r="BC295" s="86"/>
      <c r="BD295" s="86"/>
      <c r="BE295" s="86"/>
      <c r="BF295" s="86"/>
      <c r="BG295" s="86"/>
      <c r="BH295" s="86"/>
      <c r="BI295" s="86"/>
      <c r="BJ295" s="86"/>
      <c r="BK295" s="86"/>
      <c r="BL295" s="86"/>
      <c r="BM295" s="86"/>
      <c r="BN295" s="86"/>
      <c r="BO295" s="86"/>
      <c r="BP295" s="86"/>
      <c r="BQ295" s="86"/>
      <c r="BR295" s="86"/>
      <c r="BS295" s="86"/>
      <c r="BT295" s="86"/>
      <c r="BU295" s="86"/>
      <c r="BV295" s="86"/>
      <c r="BW295" s="86"/>
      <c r="BX295" s="86"/>
      <c r="BY295" s="86"/>
      <c r="BZ295" s="86"/>
      <c r="CA295" s="87"/>
    </row>
    <row r="296" spans="1:85" customHeight="1" ht="13.5">
      <c r="A296" s="41"/>
      <c r="B296" s="118"/>
      <c r="C296" s="118"/>
      <c r="D296" s="118"/>
      <c r="E296" s="118"/>
      <c r="F296" s="165"/>
      <c r="G296" s="118"/>
      <c r="H296" s="118"/>
      <c r="I296" s="118"/>
      <c r="J296" s="157">
        <v>0</v>
      </c>
      <c r="K296" s="157"/>
      <c r="L296" s="157"/>
      <c r="M296" s="157"/>
      <c r="N296" s="154"/>
      <c r="O296" s="139" t="s">
        <v>58</v>
      </c>
      <c r="P296" s="154"/>
      <c r="Q296" s="139">
        <v>1</v>
      </c>
      <c r="R296" s="157"/>
      <c r="S296" s="157"/>
      <c r="T296" s="157"/>
      <c r="U296" s="154"/>
      <c r="V296" s="139" t="s">
        <v>58</v>
      </c>
      <c r="W296" s="154"/>
      <c r="X296" s="139">
        <v>2</v>
      </c>
      <c r="Y296" s="157"/>
      <c r="Z296" s="157"/>
      <c r="AA296" s="157"/>
      <c r="AB296" s="154"/>
      <c r="AC296" s="139" t="s">
        <v>58</v>
      </c>
      <c r="AD296" s="154"/>
      <c r="AE296" s="139">
        <v>3</v>
      </c>
      <c r="AF296" s="157"/>
      <c r="AG296" s="157"/>
      <c r="AH296" s="157"/>
      <c r="AI296" s="154"/>
      <c r="AJ296" s="139" t="s">
        <v>58</v>
      </c>
      <c r="AK296" s="154"/>
      <c r="AL296" s="139">
        <v>4</v>
      </c>
      <c r="AM296" s="157"/>
      <c r="AN296" s="157"/>
      <c r="AO296" s="157"/>
      <c r="AP296" s="154"/>
      <c r="AQ296" s="139" t="s">
        <v>58</v>
      </c>
      <c r="AR296" s="154"/>
      <c r="AS296" s="139">
        <v>5</v>
      </c>
      <c r="AT296" s="157"/>
      <c r="AU296" s="157"/>
      <c r="AV296" s="157"/>
      <c r="AW296" s="154"/>
      <c r="AX296" s="139" t="s">
        <v>58</v>
      </c>
      <c r="AY296" s="154"/>
      <c r="AZ296" s="139">
        <v>6</v>
      </c>
      <c r="BA296" s="157"/>
      <c r="BB296" s="157"/>
      <c r="BC296" s="157"/>
      <c r="BD296" s="154"/>
      <c r="BE296" s="139" t="s">
        <v>58</v>
      </c>
      <c r="BF296" s="157"/>
      <c r="BG296" s="163">
        <v>7</v>
      </c>
      <c r="BH296" s="163"/>
      <c r="BI296" s="163"/>
      <c r="BJ296" s="163"/>
      <c r="BK296" s="163"/>
      <c r="BL296" s="87" t="s">
        <v>58</v>
      </c>
      <c r="BM296" s="163"/>
      <c r="BN296" s="163">
        <v>8</v>
      </c>
      <c r="BO296" s="163"/>
      <c r="BP296" s="163"/>
      <c r="BQ296" s="163"/>
      <c r="BR296" s="163"/>
      <c r="BS296" s="157" t="s">
        <v>58</v>
      </c>
      <c r="BT296" s="154"/>
      <c r="BU296" s="160">
        <v>9</v>
      </c>
      <c r="BV296" s="164"/>
      <c r="BW296" s="164"/>
      <c r="BX296" s="164"/>
      <c r="BY296" s="161"/>
      <c r="BZ296" s="160" t="s">
        <v>58</v>
      </c>
      <c r="CA296" s="161"/>
    </row>
    <row r="297" spans="1:85" customHeight="1" ht="13.5">
      <c r="A297" s="41"/>
      <c r="B297" s="118"/>
      <c r="C297" s="118"/>
      <c r="D297" s="118"/>
      <c r="E297" s="118"/>
      <c r="F297" s="165"/>
      <c r="G297" s="118"/>
      <c r="H297" s="118"/>
      <c r="I297" s="118"/>
      <c r="J297" s="158"/>
      <c r="K297" s="158"/>
      <c r="L297" s="158"/>
      <c r="M297" s="158"/>
      <c r="N297" s="156"/>
      <c r="O297" s="155"/>
      <c r="P297" s="156"/>
      <c r="Q297" s="155"/>
      <c r="R297" s="158"/>
      <c r="S297" s="158"/>
      <c r="T297" s="158"/>
      <c r="U297" s="156"/>
      <c r="V297" s="155"/>
      <c r="W297" s="156"/>
      <c r="X297" s="155"/>
      <c r="Y297" s="158"/>
      <c r="Z297" s="158"/>
      <c r="AA297" s="158"/>
      <c r="AB297" s="156"/>
      <c r="AC297" s="155"/>
      <c r="AD297" s="156"/>
      <c r="AE297" s="155"/>
      <c r="AF297" s="158"/>
      <c r="AG297" s="158"/>
      <c r="AH297" s="158"/>
      <c r="AI297" s="156"/>
      <c r="AJ297" s="155"/>
      <c r="AK297" s="156"/>
      <c r="AL297" s="155"/>
      <c r="AM297" s="158"/>
      <c r="AN297" s="158"/>
      <c r="AO297" s="158"/>
      <c r="AP297" s="156"/>
      <c r="AQ297" s="155"/>
      <c r="AR297" s="156"/>
      <c r="AS297" s="155"/>
      <c r="AT297" s="158"/>
      <c r="AU297" s="158"/>
      <c r="AV297" s="158"/>
      <c r="AW297" s="156"/>
      <c r="AX297" s="155"/>
      <c r="AY297" s="156"/>
      <c r="AZ297" s="155"/>
      <c r="BA297" s="158"/>
      <c r="BB297" s="158"/>
      <c r="BC297" s="158"/>
      <c r="BD297" s="156"/>
      <c r="BE297" s="155"/>
      <c r="BF297" s="158"/>
      <c r="BG297" s="163"/>
      <c r="BH297" s="163"/>
      <c r="BI297" s="163"/>
      <c r="BJ297" s="163"/>
      <c r="BK297" s="163"/>
      <c r="BL297" s="87"/>
      <c r="BM297" s="163"/>
      <c r="BN297" s="163"/>
      <c r="BO297" s="163"/>
      <c r="BP297" s="163"/>
      <c r="BQ297" s="163"/>
      <c r="BR297" s="163"/>
      <c r="BS297" s="158"/>
      <c r="BT297" s="156"/>
      <c r="BU297" s="155"/>
      <c r="BV297" s="158"/>
      <c r="BW297" s="158"/>
      <c r="BX297" s="158"/>
      <c r="BY297" s="156"/>
      <c r="BZ297" s="155"/>
      <c r="CA297" s="156"/>
    </row>
    <row r="298" spans="1:85" customHeight="1" ht="13.5">
      <c r="A298" s="4"/>
      <c r="B298" s="126" t="s">
        <v>33</v>
      </c>
      <c r="C298" s="162"/>
      <c r="D298" s="162"/>
      <c r="E298" s="145"/>
      <c r="F298" s="148" t="s">
        <v>34</v>
      </c>
      <c r="G298" s="149"/>
      <c r="H298" s="149"/>
      <c r="I298" s="150"/>
      <c r="J298" s="82">
        <v>94</v>
      </c>
      <c r="K298" s="83"/>
      <c r="L298" s="83"/>
      <c r="M298" s="83"/>
      <c r="N298" s="84"/>
      <c r="O298" s="82"/>
      <c r="P298" s="84"/>
      <c r="Q298" s="82">
        <v>94</v>
      </c>
      <c r="R298" s="83"/>
      <c r="S298" s="83"/>
      <c r="T298" s="83"/>
      <c r="U298" s="84"/>
      <c r="V298" s="82"/>
      <c r="W298" s="84"/>
      <c r="X298" s="82">
        <v>94</v>
      </c>
      <c r="Y298" s="83"/>
      <c r="Z298" s="83"/>
      <c r="AA298" s="83"/>
      <c r="AB298" s="84"/>
      <c r="AC298" s="82"/>
      <c r="AD298" s="84"/>
      <c r="AE298" s="82">
        <v>94</v>
      </c>
      <c r="AF298" s="83"/>
      <c r="AG298" s="83"/>
      <c r="AH298" s="83"/>
      <c r="AI298" s="84"/>
      <c r="AJ298" s="82"/>
      <c r="AK298" s="84"/>
      <c r="AL298" s="82">
        <v>94</v>
      </c>
      <c r="AM298" s="83"/>
      <c r="AN298" s="83"/>
      <c r="AO298" s="83"/>
      <c r="AP298" s="84"/>
      <c r="AQ298" s="82"/>
      <c r="AR298" s="84"/>
      <c r="AS298" s="82">
        <v>94</v>
      </c>
      <c r="AT298" s="83"/>
      <c r="AU298" s="83"/>
      <c r="AV298" s="83"/>
      <c r="AW298" s="84"/>
      <c r="AX298" s="82"/>
      <c r="AY298" s="84"/>
      <c r="AZ298" s="82">
        <v>94</v>
      </c>
      <c r="BA298" s="83"/>
      <c r="BB298" s="83"/>
      <c r="BC298" s="83"/>
      <c r="BD298" s="84"/>
      <c r="BE298" s="82"/>
      <c r="BF298" s="83"/>
      <c r="BG298" s="166">
        <v>94</v>
      </c>
      <c r="BH298" s="166"/>
      <c r="BI298" s="166"/>
      <c r="BJ298" s="166"/>
      <c r="BK298" s="166"/>
      <c r="BL298" s="84"/>
      <c r="BM298" s="166"/>
      <c r="BN298" s="166">
        <v>94</v>
      </c>
      <c r="BO298" s="166"/>
      <c r="BP298" s="166"/>
      <c r="BQ298" s="166"/>
      <c r="BR298" s="166"/>
      <c r="BS298" s="83"/>
      <c r="BT298" s="84"/>
      <c r="BU298" s="82">
        <v>94</v>
      </c>
      <c r="BV298" s="83"/>
      <c r="BW298" s="83"/>
      <c r="BX298" s="83"/>
      <c r="BY298" s="84"/>
      <c r="BZ298" s="82"/>
      <c r="CA298" s="84"/>
    </row>
    <row r="299" spans="1:85" customHeight="1" ht="13.5">
      <c r="A299" s="4"/>
      <c r="B299" s="126"/>
      <c r="C299" s="162"/>
      <c r="D299" s="162"/>
      <c r="E299" s="145"/>
      <c r="F299" s="167" t="s">
        <v>35</v>
      </c>
      <c r="G299" s="168"/>
      <c r="H299" s="168"/>
      <c r="I299" s="169"/>
      <c r="J299" s="82">
        <v>82</v>
      </c>
      <c r="K299" s="83"/>
      <c r="L299" s="83"/>
      <c r="M299" s="83"/>
      <c r="N299" s="84"/>
      <c r="O299" s="82"/>
      <c r="P299" s="84"/>
      <c r="Q299" s="82">
        <v>82</v>
      </c>
      <c r="R299" s="83"/>
      <c r="S299" s="83"/>
      <c r="T299" s="83"/>
      <c r="U299" s="84"/>
      <c r="V299" s="82"/>
      <c r="W299" s="84"/>
      <c r="X299" s="82">
        <v>82</v>
      </c>
      <c r="Y299" s="83"/>
      <c r="Z299" s="83"/>
      <c r="AA299" s="83"/>
      <c r="AB299" s="84"/>
      <c r="AC299" s="82"/>
      <c r="AD299" s="84"/>
      <c r="AE299" s="82">
        <v>82</v>
      </c>
      <c r="AF299" s="83"/>
      <c r="AG299" s="83"/>
      <c r="AH299" s="83"/>
      <c r="AI299" s="84"/>
      <c r="AJ299" s="82"/>
      <c r="AK299" s="84"/>
      <c r="AL299" s="82">
        <v>82</v>
      </c>
      <c r="AM299" s="83"/>
      <c r="AN299" s="83"/>
      <c r="AO299" s="83"/>
      <c r="AP299" s="84"/>
      <c r="AQ299" s="82"/>
      <c r="AR299" s="84"/>
      <c r="AS299" s="82">
        <v>82</v>
      </c>
      <c r="AT299" s="83"/>
      <c r="AU299" s="83"/>
      <c r="AV299" s="83"/>
      <c r="AW299" s="84"/>
      <c r="AX299" s="82"/>
      <c r="AY299" s="84"/>
      <c r="AZ299" s="82">
        <v>82</v>
      </c>
      <c r="BA299" s="83"/>
      <c r="BB299" s="83"/>
      <c r="BC299" s="83"/>
      <c r="BD299" s="84"/>
      <c r="BE299" s="82"/>
      <c r="BF299" s="83"/>
      <c r="BG299" s="166">
        <v>82</v>
      </c>
      <c r="BH299" s="166"/>
      <c r="BI299" s="166"/>
      <c r="BJ299" s="166"/>
      <c r="BK299" s="166"/>
      <c r="BL299" s="84"/>
      <c r="BM299" s="166"/>
      <c r="BN299" s="166">
        <v>82</v>
      </c>
      <c r="BO299" s="166"/>
      <c r="BP299" s="166"/>
      <c r="BQ299" s="166"/>
      <c r="BR299" s="166"/>
      <c r="BS299" s="83"/>
      <c r="BT299" s="84"/>
      <c r="BU299" s="82">
        <v>82</v>
      </c>
      <c r="BV299" s="83"/>
      <c r="BW299" s="83"/>
      <c r="BX299" s="83"/>
      <c r="BY299" s="84"/>
      <c r="BZ299" s="82"/>
      <c r="CA299" s="84"/>
    </row>
    <row r="300" spans="1:85" customHeight="1" ht="13.5">
      <c r="A300" s="4"/>
      <c r="B300" s="131"/>
      <c r="C300" s="146"/>
      <c r="D300" s="146"/>
      <c r="E300" s="147"/>
      <c r="F300" s="167" t="s">
        <v>36</v>
      </c>
      <c r="G300" s="168"/>
      <c r="H300" s="168"/>
      <c r="I300" s="169"/>
      <c r="J300" s="57">
        <f>SUM(J298:N299)</f>
        <v>176</v>
      </c>
      <c r="K300" s="83"/>
      <c r="L300" s="83"/>
      <c r="M300" s="83"/>
      <c r="N300" s="84"/>
      <c r="O300" s="57">
        <f>SUM(O298:P299)</f>
        <v>0</v>
      </c>
      <c r="P300" s="84"/>
      <c r="Q300" s="57">
        <f>SUM(Q298:U299)</f>
        <v>176</v>
      </c>
      <c r="R300" s="83"/>
      <c r="S300" s="83"/>
      <c r="T300" s="83"/>
      <c r="U300" s="84"/>
      <c r="V300" s="57">
        <f>SUM(V298:W299)</f>
        <v>0</v>
      </c>
      <c r="W300" s="84"/>
      <c r="X300" s="57">
        <f>SUM(X298:AB299)</f>
        <v>176</v>
      </c>
      <c r="Y300" s="83"/>
      <c r="Z300" s="83"/>
      <c r="AA300" s="83"/>
      <c r="AB300" s="84"/>
      <c r="AC300" s="57">
        <f>SUM(AC298:AD299)</f>
        <v>0</v>
      </c>
      <c r="AD300" s="84"/>
      <c r="AE300" s="57">
        <f>SUM(AE298:AI299)</f>
        <v>176</v>
      </c>
      <c r="AF300" s="83"/>
      <c r="AG300" s="83"/>
      <c r="AH300" s="83"/>
      <c r="AI300" s="84"/>
      <c r="AJ300" s="57">
        <f>SUM(AJ298:AK299)</f>
        <v>0</v>
      </c>
      <c r="AK300" s="84"/>
      <c r="AL300" s="57">
        <f>SUM(AL298:AP299)</f>
        <v>176</v>
      </c>
      <c r="AM300" s="83"/>
      <c r="AN300" s="83"/>
      <c r="AO300" s="83"/>
      <c r="AP300" s="84"/>
      <c r="AQ300" s="57">
        <f>SUM(AQ298:AR299)</f>
        <v>0</v>
      </c>
      <c r="AR300" s="84"/>
      <c r="AS300" s="57">
        <f>SUM(AS298:AW299)</f>
        <v>176</v>
      </c>
      <c r="AT300" s="83"/>
      <c r="AU300" s="83"/>
      <c r="AV300" s="83"/>
      <c r="AW300" s="84"/>
      <c r="AX300" s="57">
        <f>SUM(AX298:AY299)</f>
        <v>0</v>
      </c>
      <c r="AY300" s="84"/>
      <c r="AZ300" s="57">
        <f>SUM(AZ298:BD299)</f>
        <v>176</v>
      </c>
      <c r="BA300" s="83"/>
      <c r="BB300" s="83"/>
      <c r="BC300" s="83"/>
      <c r="BD300" s="84"/>
      <c r="BE300" s="57">
        <f>SUM(BE298:BF299)</f>
        <v>0</v>
      </c>
      <c r="BF300" s="83"/>
      <c r="BG300" s="166">
        <f>SUM(BG298:BK299)</f>
        <v>176</v>
      </c>
      <c r="BH300" s="166"/>
      <c r="BI300" s="166"/>
      <c r="BJ300" s="166"/>
      <c r="BK300" s="166"/>
      <c r="BL300" s="59">
        <f>SUM(BL298:BM299)</f>
        <v>0</v>
      </c>
      <c r="BM300" s="166"/>
      <c r="BN300" s="166">
        <f>SUM(BN298:BR299)</f>
        <v>176</v>
      </c>
      <c r="BO300" s="166"/>
      <c r="BP300" s="166"/>
      <c r="BQ300" s="166"/>
      <c r="BR300" s="166"/>
      <c r="BS300" s="58">
        <f>SUM(BS298:BT299)</f>
        <v>0</v>
      </c>
      <c r="BT300" s="84"/>
      <c r="BU300" s="57">
        <f>SUM(BU298:BY299)</f>
        <v>176</v>
      </c>
      <c r="BV300" s="83"/>
      <c r="BW300" s="83"/>
      <c r="BX300" s="83"/>
      <c r="BY300" s="84"/>
      <c r="BZ300" s="57">
        <f>SUM(BZ298:CA299)</f>
        <v>0</v>
      </c>
      <c r="CA300" s="84"/>
    </row>
    <row r="301" spans="1:85" customHeight="1" ht="13.5">
      <c r="A301" s="4"/>
      <c r="B301" s="134" t="s">
        <v>37</v>
      </c>
      <c r="C301" s="171"/>
      <c r="D301" s="171"/>
      <c r="E301" s="172"/>
      <c r="F301" s="128" t="s">
        <v>34</v>
      </c>
      <c r="G301" s="173"/>
      <c r="H301" s="173"/>
      <c r="I301" s="174"/>
      <c r="J301" s="82">
        <v>92</v>
      </c>
      <c r="K301" s="83"/>
      <c r="L301" s="83"/>
      <c r="M301" s="83"/>
      <c r="N301" s="84"/>
      <c r="O301" s="82"/>
      <c r="P301" s="84"/>
      <c r="Q301" s="82">
        <v>92</v>
      </c>
      <c r="R301" s="83"/>
      <c r="S301" s="83"/>
      <c r="T301" s="83"/>
      <c r="U301" s="84"/>
      <c r="V301" s="82"/>
      <c r="W301" s="84"/>
      <c r="X301" s="82">
        <v>92</v>
      </c>
      <c r="Y301" s="83"/>
      <c r="Z301" s="83"/>
      <c r="AA301" s="83"/>
      <c r="AB301" s="84"/>
      <c r="AC301" s="82"/>
      <c r="AD301" s="84"/>
      <c r="AE301" s="82">
        <v>92</v>
      </c>
      <c r="AF301" s="83"/>
      <c r="AG301" s="83"/>
      <c r="AH301" s="83"/>
      <c r="AI301" s="84"/>
      <c r="AJ301" s="82"/>
      <c r="AK301" s="84"/>
      <c r="AL301" s="82">
        <v>92</v>
      </c>
      <c r="AM301" s="83"/>
      <c r="AN301" s="83"/>
      <c r="AO301" s="83"/>
      <c r="AP301" s="84"/>
      <c r="AQ301" s="82"/>
      <c r="AR301" s="84"/>
      <c r="AS301" s="82">
        <v>92</v>
      </c>
      <c r="AT301" s="83"/>
      <c r="AU301" s="83"/>
      <c r="AV301" s="83"/>
      <c r="AW301" s="84"/>
      <c r="AX301" s="82"/>
      <c r="AY301" s="84"/>
      <c r="AZ301" s="82">
        <v>92</v>
      </c>
      <c r="BA301" s="83"/>
      <c r="BB301" s="83"/>
      <c r="BC301" s="83"/>
      <c r="BD301" s="84"/>
      <c r="BE301" s="82"/>
      <c r="BF301" s="83"/>
      <c r="BG301" s="166">
        <v>92</v>
      </c>
      <c r="BH301" s="166"/>
      <c r="BI301" s="166"/>
      <c r="BJ301" s="166"/>
      <c r="BK301" s="166"/>
      <c r="BL301" s="84"/>
      <c r="BM301" s="166"/>
      <c r="BN301" s="166">
        <v>92</v>
      </c>
      <c r="BO301" s="166"/>
      <c r="BP301" s="166"/>
      <c r="BQ301" s="166"/>
      <c r="BR301" s="166"/>
      <c r="BS301" s="83"/>
      <c r="BT301" s="84"/>
      <c r="BU301" s="82">
        <v>92</v>
      </c>
      <c r="BV301" s="83"/>
      <c r="BW301" s="83"/>
      <c r="BX301" s="83"/>
      <c r="BY301" s="84"/>
      <c r="BZ301" s="82"/>
      <c r="CA301" s="84"/>
    </row>
    <row r="302" spans="1:85" customHeight="1" ht="13.5">
      <c r="A302" s="4"/>
      <c r="B302" s="126"/>
      <c r="C302" s="162"/>
      <c r="D302" s="162"/>
      <c r="E302" s="145"/>
      <c r="F302" s="167" t="s">
        <v>35</v>
      </c>
      <c r="G302" s="168"/>
      <c r="H302" s="168"/>
      <c r="I302" s="169"/>
      <c r="J302" s="82">
        <v>92</v>
      </c>
      <c r="K302" s="83"/>
      <c r="L302" s="83"/>
      <c r="M302" s="83"/>
      <c r="N302" s="84"/>
      <c r="O302" s="82"/>
      <c r="P302" s="84"/>
      <c r="Q302" s="82">
        <v>92</v>
      </c>
      <c r="R302" s="83"/>
      <c r="S302" s="83"/>
      <c r="T302" s="83"/>
      <c r="U302" s="84"/>
      <c r="V302" s="82"/>
      <c r="W302" s="84"/>
      <c r="X302" s="82">
        <v>92</v>
      </c>
      <c r="Y302" s="83"/>
      <c r="Z302" s="83"/>
      <c r="AA302" s="83"/>
      <c r="AB302" s="84"/>
      <c r="AC302" s="82"/>
      <c r="AD302" s="84"/>
      <c r="AE302" s="82">
        <v>92</v>
      </c>
      <c r="AF302" s="83"/>
      <c r="AG302" s="83"/>
      <c r="AH302" s="83"/>
      <c r="AI302" s="84"/>
      <c r="AJ302" s="82"/>
      <c r="AK302" s="84"/>
      <c r="AL302" s="82">
        <v>92</v>
      </c>
      <c r="AM302" s="83"/>
      <c r="AN302" s="83"/>
      <c r="AO302" s="83"/>
      <c r="AP302" s="84"/>
      <c r="AQ302" s="82"/>
      <c r="AR302" s="84"/>
      <c r="AS302" s="82">
        <v>92</v>
      </c>
      <c r="AT302" s="83"/>
      <c r="AU302" s="83"/>
      <c r="AV302" s="83"/>
      <c r="AW302" s="84"/>
      <c r="AX302" s="82"/>
      <c r="AY302" s="84"/>
      <c r="AZ302" s="82">
        <v>92</v>
      </c>
      <c r="BA302" s="83"/>
      <c r="BB302" s="83"/>
      <c r="BC302" s="83"/>
      <c r="BD302" s="84"/>
      <c r="BE302" s="82"/>
      <c r="BF302" s="83"/>
      <c r="BG302" s="170">
        <v>92</v>
      </c>
      <c r="BH302" s="170"/>
      <c r="BI302" s="170"/>
      <c r="BJ302" s="170"/>
      <c r="BK302" s="170"/>
      <c r="BL302" s="166"/>
      <c r="BM302" s="166"/>
      <c r="BN302" s="166">
        <v>92</v>
      </c>
      <c r="BO302" s="166"/>
      <c r="BP302" s="166"/>
      <c r="BQ302" s="166"/>
      <c r="BR302" s="166"/>
      <c r="BS302" s="83"/>
      <c r="BT302" s="84"/>
      <c r="BU302" s="82">
        <v>92</v>
      </c>
      <c r="BV302" s="83"/>
      <c r="BW302" s="83"/>
      <c r="BX302" s="83"/>
      <c r="BY302" s="84"/>
      <c r="BZ302" s="82"/>
      <c r="CA302" s="84"/>
    </row>
    <row r="303" spans="1:85" customHeight="1" ht="13.5">
      <c r="A303" s="4"/>
      <c r="B303" s="131"/>
      <c r="C303" s="146"/>
      <c r="D303" s="146"/>
      <c r="E303" s="147"/>
      <c r="F303" s="167" t="s">
        <v>36</v>
      </c>
      <c r="G303" s="168"/>
      <c r="H303" s="168"/>
      <c r="I303" s="169"/>
      <c r="J303" s="57">
        <f>SUM(J301:N302)</f>
        <v>184</v>
      </c>
      <c r="K303" s="83"/>
      <c r="L303" s="83"/>
      <c r="M303" s="83"/>
      <c r="N303" s="84"/>
      <c r="O303" s="57">
        <f>SUM(O301:P302)</f>
        <v>0</v>
      </c>
      <c r="P303" s="84"/>
      <c r="Q303" s="57">
        <f>SUM(Q301:U302)</f>
        <v>184</v>
      </c>
      <c r="R303" s="83"/>
      <c r="S303" s="83"/>
      <c r="T303" s="83"/>
      <c r="U303" s="84"/>
      <c r="V303" s="57">
        <f>SUM(V301:W302)</f>
        <v>0</v>
      </c>
      <c r="W303" s="84"/>
      <c r="X303" s="57">
        <f>SUM(X301:AB302)</f>
        <v>184</v>
      </c>
      <c r="Y303" s="83"/>
      <c r="Z303" s="83"/>
      <c r="AA303" s="83"/>
      <c r="AB303" s="84"/>
      <c r="AC303" s="57">
        <f>SUM(AC301:AD302)</f>
        <v>0</v>
      </c>
      <c r="AD303" s="84"/>
      <c r="AE303" s="57">
        <f>SUM(AE301:AI302)</f>
        <v>184</v>
      </c>
      <c r="AF303" s="83"/>
      <c r="AG303" s="83"/>
      <c r="AH303" s="83"/>
      <c r="AI303" s="84"/>
      <c r="AJ303" s="57">
        <f>SUM(AJ301:AK302)</f>
        <v>0</v>
      </c>
      <c r="AK303" s="84"/>
      <c r="AL303" s="57">
        <f>SUM(AL301:AP302)</f>
        <v>184</v>
      </c>
      <c r="AM303" s="83"/>
      <c r="AN303" s="83"/>
      <c r="AO303" s="83"/>
      <c r="AP303" s="84"/>
      <c r="AQ303" s="57">
        <f>SUM(AQ301:AR302)</f>
        <v>0</v>
      </c>
      <c r="AR303" s="84"/>
      <c r="AS303" s="57">
        <f>SUM(AS301:AW302)</f>
        <v>184</v>
      </c>
      <c r="AT303" s="83"/>
      <c r="AU303" s="83"/>
      <c r="AV303" s="83"/>
      <c r="AW303" s="84"/>
      <c r="AX303" s="57">
        <f>SUM(AX301:AY302)</f>
        <v>0</v>
      </c>
      <c r="AY303" s="84"/>
      <c r="AZ303" s="57">
        <f>SUM(AZ301:BD302)</f>
        <v>184</v>
      </c>
      <c r="BA303" s="83"/>
      <c r="BB303" s="83"/>
      <c r="BC303" s="83"/>
      <c r="BD303" s="84"/>
      <c r="BE303" s="57">
        <f>SUM(BE301:BF302)</f>
        <v>0</v>
      </c>
      <c r="BF303" s="83"/>
      <c r="BG303" s="166">
        <f>SUM(BG301:BK302)</f>
        <v>184</v>
      </c>
      <c r="BH303" s="166"/>
      <c r="BI303" s="166"/>
      <c r="BJ303" s="166"/>
      <c r="BK303" s="166"/>
      <c r="BL303" s="166">
        <f>SUM(BL301:BM302)</f>
        <v>0</v>
      </c>
      <c r="BM303" s="166"/>
      <c r="BN303" s="166">
        <f>SUM(BN301:BR302)</f>
        <v>184</v>
      </c>
      <c r="BO303" s="166"/>
      <c r="BP303" s="166"/>
      <c r="BQ303" s="166"/>
      <c r="BR303" s="166"/>
      <c r="BS303" s="58">
        <f>SUM(BS301:BT302)</f>
        <v>0</v>
      </c>
      <c r="BT303" s="84"/>
      <c r="BU303" s="57">
        <f>SUM(BU301:BY302)</f>
        <v>184</v>
      </c>
      <c r="BV303" s="83"/>
      <c r="BW303" s="83"/>
      <c r="BX303" s="83"/>
      <c r="BY303" s="84"/>
      <c r="BZ303" s="57">
        <f>SUM(BZ301:CA302)</f>
        <v>0</v>
      </c>
      <c r="CA303" s="84"/>
    </row>
    <row r="304" spans="1:85" customHeight="1" ht="13.5">
      <c r="A304" s="4"/>
      <c r="B304" s="134" t="s">
        <v>38</v>
      </c>
      <c r="C304" s="171"/>
      <c r="D304" s="171"/>
      <c r="E304" s="172"/>
      <c r="F304" s="128" t="s">
        <v>34</v>
      </c>
      <c r="G304" s="173"/>
      <c r="H304" s="173"/>
      <c r="I304" s="174"/>
      <c r="J304" s="82">
        <v>35</v>
      </c>
      <c r="K304" s="83"/>
      <c r="L304" s="83"/>
      <c r="M304" s="83"/>
      <c r="N304" s="84"/>
      <c r="O304" s="82"/>
      <c r="P304" s="84"/>
      <c r="Q304" s="82">
        <v>35</v>
      </c>
      <c r="R304" s="83"/>
      <c r="S304" s="83"/>
      <c r="T304" s="83"/>
      <c r="U304" s="84"/>
      <c r="V304" s="82"/>
      <c r="W304" s="84"/>
      <c r="X304" s="82">
        <v>35</v>
      </c>
      <c r="Y304" s="83"/>
      <c r="Z304" s="83"/>
      <c r="AA304" s="83"/>
      <c r="AB304" s="84"/>
      <c r="AC304" s="82"/>
      <c r="AD304" s="84"/>
      <c r="AE304" s="82">
        <v>35</v>
      </c>
      <c r="AF304" s="83"/>
      <c r="AG304" s="83"/>
      <c r="AH304" s="83"/>
      <c r="AI304" s="84"/>
      <c r="AJ304" s="82"/>
      <c r="AK304" s="84"/>
      <c r="AL304" s="82">
        <v>35</v>
      </c>
      <c r="AM304" s="83"/>
      <c r="AN304" s="83"/>
      <c r="AO304" s="83"/>
      <c r="AP304" s="84"/>
      <c r="AQ304" s="82"/>
      <c r="AR304" s="84"/>
      <c r="AS304" s="82">
        <v>35</v>
      </c>
      <c r="AT304" s="83"/>
      <c r="AU304" s="83"/>
      <c r="AV304" s="83"/>
      <c r="AW304" s="84"/>
      <c r="AX304" s="82"/>
      <c r="AY304" s="84"/>
      <c r="AZ304" s="82">
        <v>35</v>
      </c>
      <c r="BA304" s="83"/>
      <c r="BB304" s="83"/>
      <c r="BC304" s="83"/>
      <c r="BD304" s="84"/>
      <c r="BE304" s="82"/>
      <c r="BF304" s="83"/>
      <c r="BG304" s="166">
        <v>35</v>
      </c>
      <c r="BH304" s="166"/>
      <c r="BI304" s="166"/>
      <c r="BJ304" s="166"/>
      <c r="BK304" s="166"/>
      <c r="BL304" s="166"/>
      <c r="BM304" s="166"/>
      <c r="BN304" s="166">
        <v>35</v>
      </c>
      <c r="BO304" s="166"/>
      <c r="BP304" s="166"/>
      <c r="BQ304" s="166"/>
      <c r="BR304" s="166"/>
      <c r="BS304" s="83"/>
      <c r="BT304" s="84"/>
      <c r="BU304" s="82">
        <v>35</v>
      </c>
      <c r="BV304" s="83"/>
      <c r="BW304" s="83"/>
      <c r="BX304" s="83"/>
      <c r="BY304" s="84"/>
      <c r="BZ304" s="82"/>
      <c r="CA304" s="84"/>
    </row>
    <row r="305" spans="1:85" customHeight="1" ht="13.5">
      <c r="A305" s="4"/>
      <c r="B305" s="126"/>
      <c r="C305" s="162"/>
      <c r="D305" s="162"/>
      <c r="E305" s="145"/>
      <c r="F305" s="167" t="s">
        <v>35</v>
      </c>
      <c r="G305" s="168"/>
      <c r="H305" s="168"/>
      <c r="I305" s="169"/>
      <c r="J305" s="82">
        <v>51</v>
      </c>
      <c r="K305" s="83"/>
      <c r="L305" s="83"/>
      <c r="M305" s="83"/>
      <c r="N305" s="84"/>
      <c r="O305" s="82"/>
      <c r="P305" s="84"/>
      <c r="Q305" s="82">
        <v>51</v>
      </c>
      <c r="R305" s="83"/>
      <c r="S305" s="83"/>
      <c r="T305" s="83"/>
      <c r="U305" s="84"/>
      <c r="V305" s="82"/>
      <c r="W305" s="84"/>
      <c r="X305" s="82">
        <v>51</v>
      </c>
      <c r="Y305" s="83"/>
      <c r="Z305" s="83"/>
      <c r="AA305" s="83"/>
      <c r="AB305" s="84"/>
      <c r="AC305" s="82"/>
      <c r="AD305" s="84"/>
      <c r="AE305" s="82">
        <v>51</v>
      </c>
      <c r="AF305" s="83"/>
      <c r="AG305" s="83"/>
      <c r="AH305" s="83"/>
      <c r="AI305" s="84"/>
      <c r="AJ305" s="82"/>
      <c r="AK305" s="84"/>
      <c r="AL305" s="82">
        <v>51</v>
      </c>
      <c r="AM305" s="83"/>
      <c r="AN305" s="83"/>
      <c r="AO305" s="83"/>
      <c r="AP305" s="84"/>
      <c r="AQ305" s="82"/>
      <c r="AR305" s="84"/>
      <c r="AS305" s="82">
        <v>51</v>
      </c>
      <c r="AT305" s="83"/>
      <c r="AU305" s="83"/>
      <c r="AV305" s="83"/>
      <c r="AW305" s="84"/>
      <c r="AX305" s="82"/>
      <c r="AY305" s="84"/>
      <c r="AZ305" s="82">
        <v>51</v>
      </c>
      <c r="BA305" s="83"/>
      <c r="BB305" s="83"/>
      <c r="BC305" s="83"/>
      <c r="BD305" s="84"/>
      <c r="BE305" s="82"/>
      <c r="BF305" s="83"/>
      <c r="BG305" s="166">
        <v>51</v>
      </c>
      <c r="BH305" s="166"/>
      <c r="BI305" s="166"/>
      <c r="BJ305" s="166"/>
      <c r="BK305" s="166"/>
      <c r="BL305" s="166"/>
      <c r="BM305" s="166"/>
      <c r="BN305" s="166">
        <v>51</v>
      </c>
      <c r="BO305" s="166"/>
      <c r="BP305" s="166"/>
      <c r="BQ305" s="166"/>
      <c r="BR305" s="166"/>
      <c r="BS305" s="83"/>
      <c r="BT305" s="84"/>
      <c r="BU305" s="82">
        <v>51</v>
      </c>
      <c r="BV305" s="83"/>
      <c r="BW305" s="83"/>
      <c r="BX305" s="83"/>
      <c r="BY305" s="84"/>
      <c r="BZ305" s="82"/>
      <c r="CA305" s="84"/>
    </row>
    <row r="306" spans="1:85" customHeight="1" ht="13.5">
      <c r="A306" s="4"/>
      <c r="B306" s="131"/>
      <c r="C306" s="146"/>
      <c r="D306" s="146"/>
      <c r="E306" s="147"/>
      <c r="F306" s="167" t="s">
        <v>36</v>
      </c>
      <c r="G306" s="168"/>
      <c r="H306" s="168"/>
      <c r="I306" s="169"/>
      <c r="J306" s="57">
        <f>SUM(J304:N305)</f>
        <v>86</v>
      </c>
      <c r="K306" s="83"/>
      <c r="L306" s="83"/>
      <c r="M306" s="83"/>
      <c r="N306" s="84"/>
      <c r="O306" s="57">
        <f>SUM(O304:P305)</f>
        <v>0</v>
      </c>
      <c r="P306" s="84"/>
      <c r="Q306" s="57">
        <f>SUM(Q304:U305)</f>
        <v>86</v>
      </c>
      <c r="R306" s="83"/>
      <c r="S306" s="83"/>
      <c r="T306" s="83"/>
      <c r="U306" s="84"/>
      <c r="V306" s="57">
        <f>SUM(V304:W305)</f>
        <v>0</v>
      </c>
      <c r="W306" s="84"/>
      <c r="X306" s="57">
        <f>SUM(X304:AB305)</f>
        <v>86</v>
      </c>
      <c r="Y306" s="83"/>
      <c r="Z306" s="83"/>
      <c r="AA306" s="83"/>
      <c r="AB306" s="84"/>
      <c r="AC306" s="57">
        <f>SUM(AC304:AD305)</f>
        <v>0</v>
      </c>
      <c r="AD306" s="84"/>
      <c r="AE306" s="57">
        <f>SUM(AE304:AI305)</f>
        <v>86</v>
      </c>
      <c r="AF306" s="83"/>
      <c r="AG306" s="83"/>
      <c r="AH306" s="83"/>
      <c r="AI306" s="84"/>
      <c r="AJ306" s="57">
        <f>SUM(AJ304:AK305)</f>
        <v>0</v>
      </c>
      <c r="AK306" s="84"/>
      <c r="AL306" s="57">
        <f>SUM(AL304:AP305)</f>
        <v>86</v>
      </c>
      <c r="AM306" s="83"/>
      <c r="AN306" s="83"/>
      <c r="AO306" s="83"/>
      <c r="AP306" s="84"/>
      <c r="AQ306" s="57">
        <f>SUM(AQ304:AR305)</f>
        <v>0</v>
      </c>
      <c r="AR306" s="84"/>
      <c r="AS306" s="57">
        <f>SUM(AS304:AW305)</f>
        <v>86</v>
      </c>
      <c r="AT306" s="83"/>
      <c r="AU306" s="83"/>
      <c r="AV306" s="83"/>
      <c r="AW306" s="84"/>
      <c r="AX306" s="57">
        <f>SUM(AX304:AY305)</f>
        <v>0</v>
      </c>
      <c r="AY306" s="84"/>
      <c r="AZ306" s="57">
        <f>SUM(AZ304:BD305)</f>
        <v>86</v>
      </c>
      <c r="BA306" s="83"/>
      <c r="BB306" s="83"/>
      <c r="BC306" s="83"/>
      <c r="BD306" s="84"/>
      <c r="BE306" s="57">
        <f>SUM(BE304:BF305)</f>
        <v>0</v>
      </c>
      <c r="BF306" s="83"/>
      <c r="BG306" s="166">
        <f>SUM(BG304:BK305)</f>
        <v>86</v>
      </c>
      <c r="BH306" s="166"/>
      <c r="BI306" s="166"/>
      <c r="BJ306" s="166"/>
      <c r="BK306" s="166"/>
      <c r="BL306" s="166">
        <f>SUM(BL304:BM305)</f>
        <v>0</v>
      </c>
      <c r="BM306" s="166"/>
      <c r="BN306" s="166">
        <f>SUM(BN304:BR305)</f>
        <v>86</v>
      </c>
      <c r="BO306" s="166"/>
      <c r="BP306" s="166"/>
      <c r="BQ306" s="166"/>
      <c r="BR306" s="166"/>
      <c r="BS306" s="58">
        <f>SUM(BS304:BT305)</f>
        <v>0</v>
      </c>
      <c r="BT306" s="84"/>
      <c r="BU306" s="57">
        <f>SUM(BU304:BY305)</f>
        <v>86</v>
      </c>
      <c r="BV306" s="83"/>
      <c r="BW306" s="83"/>
      <c r="BX306" s="83"/>
      <c r="BY306" s="84"/>
      <c r="BZ306" s="57">
        <f>SUM(BZ304:CA305)</f>
        <v>0</v>
      </c>
      <c r="CA306" s="84"/>
    </row>
    <row r="307" spans="1:85" customHeight="1" ht="13.5">
      <c r="A307" s="4"/>
      <c r="B307" s="134" t="s">
        <v>39</v>
      </c>
      <c r="C307" s="171"/>
      <c r="D307" s="171"/>
      <c r="E307" s="172"/>
      <c r="F307" s="128" t="s">
        <v>34</v>
      </c>
      <c r="G307" s="173"/>
      <c r="H307" s="173"/>
      <c r="I307" s="174"/>
      <c r="J307" s="82">
        <v>1</v>
      </c>
      <c r="K307" s="83"/>
      <c r="L307" s="83"/>
      <c r="M307" s="83"/>
      <c r="N307" s="84"/>
      <c r="O307" s="82"/>
      <c r="P307" s="84"/>
      <c r="Q307" s="82">
        <v>1</v>
      </c>
      <c r="R307" s="83"/>
      <c r="S307" s="83"/>
      <c r="T307" s="83"/>
      <c r="U307" s="84"/>
      <c r="V307" s="82"/>
      <c r="W307" s="84"/>
      <c r="X307" s="82">
        <v>1</v>
      </c>
      <c r="Y307" s="83"/>
      <c r="Z307" s="83"/>
      <c r="AA307" s="83"/>
      <c r="AB307" s="84"/>
      <c r="AC307" s="82"/>
      <c r="AD307" s="84"/>
      <c r="AE307" s="82">
        <v>1</v>
      </c>
      <c r="AF307" s="83"/>
      <c r="AG307" s="83"/>
      <c r="AH307" s="83"/>
      <c r="AI307" s="84"/>
      <c r="AJ307" s="82"/>
      <c r="AK307" s="84"/>
      <c r="AL307" s="82">
        <v>1</v>
      </c>
      <c r="AM307" s="83"/>
      <c r="AN307" s="83"/>
      <c r="AO307" s="83"/>
      <c r="AP307" s="84"/>
      <c r="AQ307" s="82"/>
      <c r="AR307" s="84"/>
      <c r="AS307" s="82">
        <v>1</v>
      </c>
      <c r="AT307" s="83"/>
      <c r="AU307" s="83"/>
      <c r="AV307" s="83"/>
      <c r="AW307" s="84"/>
      <c r="AX307" s="82"/>
      <c r="AY307" s="84"/>
      <c r="AZ307" s="82">
        <v>1</v>
      </c>
      <c r="BA307" s="83"/>
      <c r="BB307" s="83"/>
      <c r="BC307" s="83"/>
      <c r="BD307" s="84"/>
      <c r="BE307" s="82"/>
      <c r="BF307" s="83"/>
      <c r="BG307" s="166">
        <v>1</v>
      </c>
      <c r="BH307" s="166"/>
      <c r="BI307" s="166"/>
      <c r="BJ307" s="166"/>
      <c r="BK307" s="166"/>
      <c r="BL307" s="166"/>
      <c r="BM307" s="166"/>
      <c r="BN307" s="166">
        <v>1</v>
      </c>
      <c r="BO307" s="166"/>
      <c r="BP307" s="166"/>
      <c r="BQ307" s="166"/>
      <c r="BR307" s="166"/>
      <c r="BS307" s="83"/>
      <c r="BT307" s="84"/>
      <c r="BU307" s="82">
        <v>1</v>
      </c>
      <c r="BV307" s="83"/>
      <c r="BW307" s="83"/>
      <c r="BX307" s="83"/>
      <c r="BY307" s="84"/>
      <c r="BZ307" s="82"/>
      <c r="CA307" s="84"/>
    </row>
    <row r="308" spans="1:85" customHeight="1" ht="13.5">
      <c r="A308" s="4"/>
      <c r="B308" s="126"/>
      <c r="C308" s="162"/>
      <c r="D308" s="162"/>
      <c r="E308" s="145"/>
      <c r="F308" s="167" t="s">
        <v>35</v>
      </c>
      <c r="G308" s="168"/>
      <c r="H308" s="168"/>
      <c r="I308" s="169"/>
      <c r="J308" s="82">
        <v>3</v>
      </c>
      <c r="K308" s="83"/>
      <c r="L308" s="83"/>
      <c r="M308" s="83"/>
      <c r="N308" s="84"/>
      <c r="O308" s="82"/>
      <c r="P308" s="84"/>
      <c r="Q308" s="82">
        <v>3</v>
      </c>
      <c r="R308" s="83"/>
      <c r="S308" s="83"/>
      <c r="T308" s="83"/>
      <c r="U308" s="84"/>
      <c r="V308" s="82"/>
      <c r="W308" s="84"/>
      <c r="X308" s="82">
        <v>3</v>
      </c>
      <c r="Y308" s="83"/>
      <c r="Z308" s="83"/>
      <c r="AA308" s="83"/>
      <c r="AB308" s="84"/>
      <c r="AC308" s="82"/>
      <c r="AD308" s="84"/>
      <c r="AE308" s="82">
        <v>3</v>
      </c>
      <c r="AF308" s="83"/>
      <c r="AG308" s="83"/>
      <c r="AH308" s="83"/>
      <c r="AI308" s="84"/>
      <c r="AJ308" s="82"/>
      <c r="AK308" s="84"/>
      <c r="AL308" s="82">
        <v>3</v>
      </c>
      <c r="AM308" s="83"/>
      <c r="AN308" s="83"/>
      <c r="AO308" s="83"/>
      <c r="AP308" s="84"/>
      <c r="AQ308" s="82"/>
      <c r="AR308" s="84"/>
      <c r="AS308" s="82">
        <v>3</v>
      </c>
      <c r="AT308" s="83"/>
      <c r="AU308" s="83"/>
      <c r="AV308" s="83"/>
      <c r="AW308" s="84"/>
      <c r="AX308" s="82"/>
      <c r="AY308" s="84"/>
      <c r="AZ308" s="82">
        <v>3</v>
      </c>
      <c r="BA308" s="83"/>
      <c r="BB308" s="83"/>
      <c r="BC308" s="83"/>
      <c r="BD308" s="84"/>
      <c r="BE308" s="82"/>
      <c r="BF308" s="83"/>
      <c r="BG308" s="166">
        <v>3</v>
      </c>
      <c r="BH308" s="166"/>
      <c r="BI308" s="166"/>
      <c r="BJ308" s="166"/>
      <c r="BK308" s="166"/>
      <c r="BL308" s="166"/>
      <c r="BM308" s="166"/>
      <c r="BN308" s="166">
        <v>3</v>
      </c>
      <c r="BO308" s="166"/>
      <c r="BP308" s="166"/>
      <c r="BQ308" s="166"/>
      <c r="BR308" s="166"/>
      <c r="BS308" s="83"/>
      <c r="BT308" s="84"/>
      <c r="BU308" s="82">
        <v>3</v>
      </c>
      <c r="BV308" s="83"/>
      <c r="BW308" s="83"/>
      <c r="BX308" s="83"/>
      <c r="BY308" s="84"/>
      <c r="BZ308" s="82"/>
      <c r="CA308" s="84"/>
    </row>
    <row r="309" spans="1:85" customHeight="1" ht="13.5">
      <c r="A309" s="4"/>
      <c r="B309" s="131"/>
      <c r="C309" s="146"/>
      <c r="D309" s="146"/>
      <c r="E309" s="147"/>
      <c r="F309" s="167" t="s">
        <v>36</v>
      </c>
      <c r="G309" s="168"/>
      <c r="H309" s="168"/>
      <c r="I309" s="169"/>
      <c r="J309" s="57">
        <f>SUM(J307:N308)</f>
        <v>4</v>
      </c>
      <c r="K309" s="83"/>
      <c r="L309" s="83"/>
      <c r="M309" s="83"/>
      <c r="N309" s="84"/>
      <c r="O309" s="57">
        <f>SUM(O307:P308)</f>
        <v>0</v>
      </c>
      <c r="P309" s="84"/>
      <c r="Q309" s="57">
        <f>SUM(Q307:U308)</f>
        <v>4</v>
      </c>
      <c r="R309" s="83"/>
      <c r="S309" s="83"/>
      <c r="T309" s="83"/>
      <c r="U309" s="84"/>
      <c r="V309" s="57">
        <f>SUM(V307:W308)</f>
        <v>0</v>
      </c>
      <c r="W309" s="84"/>
      <c r="X309" s="57">
        <f>SUM(X307:AB308)</f>
        <v>4</v>
      </c>
      <c r="Y309" s="83"/>
      <c r="Z309" s="83"/>
      <c r="AA309" s="83"/>
      <c r="AB309" s="84"/>
      <c r="AC309" s="57">
        <f>SUM(AC307:AD308)</f>
        <v>0</v>
      </c>
      <c r="AD309" s="84"/>
      <c r="AE309" s="57">
        <f>SUM(AE307:AI308)</f>
        <v>4</v>
      </c>
      <c r="AF309" s="83"/>
      <c r="AG309" s="83"/>
      <c r="AH309" s="83"/>
      <c r="AI309" s="84"/>
      <c r="AJ309" s="57">
        <f>SUM(AJ307:AK308)</f>
        <v>0</v>
      </c>
      <c r="AK309" s="84"/>
      <c r="AL309" s="57">
        <f>SUM(AL307:AP308)</f>
        <v>4</v>
      </c>
      <c r="AM309" s="83"/>
      <c r="AN309" s="83"/>
      <c r="AO309" s="83"/>
      <c r="AP309" s="84"/>
      <c r="AQ309" s="57">
        <f>SUM(AQ307:AR308)</f>
        <v>0</v>
      </c>
      <c r="AR309" s="84"/>
      <c r="AS309" s="57">
        <f>SUM(AS307:AW308)</f>
        <v>4</v>
      </c>
      <c r="AT309" s="83"/>
      <c r="AU309" s="83"/>
      <c r="AV309" s="83"/>
      <c r="AW309" s="84"/>
      <c r="AX309" s="57">
        <f>SUM(AX307:AY308)</f>
        <v>0</v>
      </c>
      <c r="AY309" s="84"/>
      <c r="AZ309" s="57">
        <f>SUM(AZ307:BD308)</f>
        <v>4</v>
      </c>
      <c r="BA309" s="83"/>
      <c r="BB309" s="83"/>
      <c r="BC309" s="83"/>
      <c r="BD309" s="84"/>
      <c r="BE309" s="57">
        <f>SUM(BE307:BF308)</f>
        <v>0</v>
      </c>
      <c r="BF309" s="83"/>
      <c r="BG309" s="166">
        <f>SUM(BG307:BK308)</f>
        <v>4</v>
      </c>
      <c r="BH309" s="166"/>
      <c r="BI309" s="166"/>
      <c r="BJ309" s="166"/>
      <c r="BK309" s="166"/>
      <c r="BL309" s="166">
        <f>SUM(BL307:BM308)</f>
        <v>0</v>
      </c>
      <c r="BM309" s="166"/>
      <c r="BN309" s="166">
        <f>SUM(BN307:BR308)</f>
        <v>4</v>
      </c>
      <c r="BO309" s="166"/>
      <c r="BP309" s="166"/>
      <c r="BQ309" s="166"/>
      <c r="BR309" s="166"/>
      <c r="BS309" s="58">
        <f>SUM(BS307:BT308)</f>
        <v>0</v>
      </c>
      <c r="BT309" s="84"/>
      <c r="BU309" s="57">
        <f>SUM(BU307:BY308)</f>
        <v>4</v>
      </c>
      <c r="BV309" s="83"/>
      <c r="BW309" s="83"/>
      <c r="BX309" s="83"/>
      <c r="BY309" s="84"/>
      <c r="BZ309" s="57">
        <f>SUM(BZ307:CA308)</f>
        <v>0</v>
      </c>
      <c r="CA309" s="84"/>
    </row>
    <row r="310" spans="1:85" customHeight="1" ht="13.5">
      <c r="A310" s="4"/>
      <c r="B310" s="134" t="s">
        <v>40</v>
      </c>
      <c r="C310" s="171"/>
      <c r="D310" s="171"/>
      <c r="E310" s="172"/>
      <c r="F310" s="128" t="s">
        <v>34</v>
      </c>
      <c r="G310" s="173"/>
      <c r="H310" s="173"/>
      <c r="I310" s="174"/>
      <c r="J310" s="82">
        <v>0</v>
      </c>
      <c r="K310" s="83"/>
      <c r="L310" s="83"/>
      <c r="M310" s="83"/>
      <c r="N310" s="84"/>
      <c r="O310" s="82"/>
      <c r="P310" s="84"/>
      <c r="Q310" s="82">
        <v>0</v>
      </c>
      <c r="R310" s="83"/>
      <c r="S310" s="83"/>
      <c r="T310" s="83"/>
      <c r="U310" s="84"/>
      <c r="V310" s="82"/>
      <c r="W310" s="84"/>
      <c r="X310" s="82">
        <v>0</v>
      </c>
      <c r="Y310" s="83"/>
      <c r="Z310" s="83"/>
      <c r="AA310" s="83"/>
      <c r="AB310" s="84"/>
      <c r="AC310" s="82"/>
      <c r="AD310" s="84"/>
      <c r="AE310" s="82">
        <v>0</v>
      </c>
      <c r="AF310" s="83"/>
      <c r="AG310" s="83"/>
      <c r="AH310" s="83"/>
      <c r="AI310" s="84"/>
      <c r="AJ310" s="82"/>
      <c r="AK310" s="84"/>
      <c r="AL310" s="82">
        <v>0</v>
      </c>
      <c r="AM310" s="83"/>
      <c r="AN310" s="83"/>
      <c r="AO310" s="83"/>
      <c r="AP310" s="84"/>
      <c r="AQ310" s="82"/>
      <c r="AR310" s="84"/>
      <c r="AS310" s="82">
        <v>0</v>
      </c>
      <c r="AT310" s="83"/>
      <c r="AU310" s="83"/>
      <c r="AV310" s="83"/>
      <c r="AW310" s="84"/>
      <c r="AX310" s="82"/>
      <c r="AY310" s="84"/>
      <c r="AZ310" s="82">
        <v>0</v>
      </c>
      <c r="BA310" s="83"/>
      <c r="BB310" s="83"/>
      <c r="BC310" s="83"/>
      <c r="BD310" s="84"/>
      <c r="BE310" s="82"/>
      <c r="BF310" s="83"/>
      <c r="BG310" s="166">
        <v>0</v>
      </c>
      <c r="BH310" s="166"/>
      <c r="BI310" s="166"/>
      <c r="BJ310" s="166"/>
      <c r="BK310" s="166"/>
      <c r="BL310" s="166"/>
      <c r="BM310" s="166"/>
      <c r="BN310" s="166">
        <v>0</v>
      </c>
      <c r="BO310" s="166"/>
      <c r="BP310" s="166"/>
      <c r="BQ310" s="166"/>
      <c r="BR310" s="166"/>
      <c r="BS310" s="83"/>
      <c r="BT310" s="84"/>
      <c r="BU310" s="82">
        <v>0</v>
      </c>
      <c r="BV310" s="83"/>
      <c r="BW310" s="83"/>
      <c r="BX310" s="83"/>
      <c r="BY310" s="84"/>
      <c r="BZ310" s="82"/>
      <c r="CA310" s="84"/>
    </row>
    <row r="311" spans="1:85" customHeight="1" ht="13.5">
      <c r="A311" s="4"/>
      <c r="B311" s="126"/>
      <c r="C311" s="162"/>
      <c r="D311" s="162"/>
      <c r="E311" s="145"/>
      <c r="F311" s="167" t="s">
        <v>35</v>
      </c>
      <c r="G311" s="168"/>
      <c r="H311" s="168"/>
      <c r="I311" s="169"/>
      <c r="J311" s="82">
        <v>0</v>
      </c>
      <c r="K311" s="83"/>
      <c r="L311" s="83"/>
      <c r="M311" s="83"/>
      <c r="N311" s="84"/>
      <c r="O311" s="82"/>
      <c r="P311" s="84"/>
      <c r="Q311" s="82">
        <v>0</v>
      </c>
      <c r="R311" s="83"/>
      <c r="S311" s="83"/>
      <c r="T311" s="83"/>
      <c r="U311" s="84"/>
      <c r="V311" s="82"/>
      <c r="W311" s="84"/>
      <c r="X311" s="82">
        <v>0</v>
      </c>
      <c r="Y311" s="83"/>
      <c r="Z311" s="83"/>
      <c r="AA311" s="83"/>
      <c r="AB311" s="84"/>
      <c r="AC311" s="82"/>
      <c r="AD311" s="84"/>
      <c r="AE311" s="82">
        <v>0</v>
      </c>
      <c r="AF311" s="83"/>
      <c r="AG311" s="83"/>
      <c r="AH311" s="83"/>
      <c r="AI311" s="84"/>
      <c r="AJ311" s="82"/>
      <c r="AK311" s="84"/>
      <c r="AL311" s="82">
        <v>0</v>
      </c>
      <c r="AM311" s="83"/>
      <c r="AN311" s="83"/>
      <c r="AO311" s="83"/>
      <c r="AP311" s="84"/>
      <c r="AQ311" s="82"/>
      <c r="AR311" s="84"/>
      <c r="AS311" s="82">
        <v>0</v>
      </c>
      <c r="AT311" s="83"/>
      <c r="AU311" s="83"/>
      <c r="AV311" s="83"/>
      <c r="AW311" s="84"/>
      <c r="AX311" s="82"/>
      <c r="AY311" s="84"/>
      <c r="AZ311" s="82">
        <v>0</v>
      </c>
      <c r="BA311" s="83"/>
      <c r="BB311" s="83"/>
      <c r="BC311" s="83"/>
      <c r="BD311" s="84"/>
      <c r="BE311" s="82"/>
      <c r="BF311" s="84"/>
      <c r="BG311" s="151">
        <v>0</v>
      </c>
      <c r="BH311" s="152"/>
      <c r="BI311" s="152"/>
      <c r="BJ311" s="152"/>
      <c r="BK311" s="153"/>
      <c r="BL311" s="151"/>
      <c r="BM311" s="153"/>
      <c r="BN311" s="151">
        <v>0</v>
      </c>
      <c r="BO311" s="152"/>
      <c r="BP311" s="152"/>
      <c r="BQ311" s="152"/>
      <c r="BR311" s="153"/>
      <c r="BS311" s="82"/>
      <c r="BT311" s="84"/>
      <c r="BU311" s="82">
        <v>0</v>
      </c>
      <c r="BV311" s="83"/>
      <c r="BW311" s="83"/>
      <c r="BX311" s="83"/>
      <c r="BY311" s="84"/>
      <c r="BZ311" s="82"/>
      <c r="CA311" s="84"/>
    </row>
    <row r="312" spans="1:85" customHeight="1" ht="13.5">
      <c r="A312" s="4"/>
      <c r="B312" s="131"/>
      <c r="C312" s="146"/>
      <c r="D312" s="146"/>
      <c r="E312" s="147"/>
      <c r="F312" s="167" t="s">
        <v>36</v>
      </c>
      <c r="G312" s="168"/>
      <c r="H312" s="168"/>
      <c r="I312" s="169"/>
      <c r="J312" s="57">
        <f>SUM(J310:N311)</f>
        <v>0</v>
      </c>
      <c r="K312" s="83"/>
      <c r="L312" s="83"/>
      <c r="M312" s="83"/>
      <c r="N312" s="84"/>
      <c r="O312" s="57">
        <f>SUM(O310:P311)</f>
        <v>0</v>
      </c>
      <c r="P312" s="84"/>
      <c r="Q312" s="57">
        <f>SUM(Q310:U311)</f>
        <v>0</v>
      </c>
      <c r="R312" s="83"/>
      <c r="S312" s="83"/>
      <c r="T312" s="83"/>
      <c r="U312" s="84"/>
      <c r="V312" s="57">
        <f>SUM(V310:W311)</f>
        <v>0</v>
      </c>
      <c r="W312" s="84"/>
      <c r="X312" s="57">
        <f>SUM(X310:AB311)</f>
        <v>0</v>
      </c>
      <c r="Y312" s="83"/>
      <c r="Z312" s="83"/>
      <c r="AA312" s="83"/>
      <c r="AB312" s="84"/>
      <c r="AC312" s="57">
        <f>SUM(AC310:AD311)</f>
        <v>0</v>
      </c>
      <c r="AD312" s="84"/>
      <c r="AE312" s="57">
        <f>SUM(AE310:AI311)</f>
        <v>0</v>
      </c>
      <c r="AF312" s="83"/>
      <c r="AG312" s="83"/>
      <c r="AH312" s="83"/>
      <c r="AI312" s="84"/>
      <c r="AJ312" s="57">
        <f>SUM(AJ310:AK311)</f>
        <v>0</v>
      </c>
      <c r="AK312" s="84"/>
      <c r="AL312" s="57">
        <f>SUM(AL310:AP311)</f>
        <v>0</v>
      </c>
      <c r="AM312" s="83"/>
      <c r="AN312" s="83"/>
      <c r="AO312" s="83"/>
      <c r="AP312" s="84"/>
      <c r="AQ312" s="57">
        <f>SUM(AQ310:AR311)</f>
        <v>0</v>
      </c>
      <c r="AR312" s="84"/>
      <c r="AS312" s="57">
        <f>SUM(AS310:AW311)</f>
        <v>0</v>
      </c>
      <c r="AT312" s="83"/>
      <c r="AU312" s="83"/>
      <c r="AV312" s="83"/>
      <c r="AW312" s="84"/>
      <c r="AX312" s="57">
        <f>SUM(AX310:AY311)</f>
        <v>0</v>
      </c>
      <c r="AY312" s="84"/>
      <c r="AZ312" s="57">
        <f>SUM(AZ310:BD311)</f>
        <v>0</v>
      </c>
      <c r="BA312" s="83"/>
      <c r="BB312" s="83"/>
      <c r="BC312" s="83"/>
      <c r="BD312" s="84"/>
      <c r="BE312" s="57">
        <f>SUM(BE310:BF311)</f>
        <v>0</v>
      </c>
      <c r="BF312" s="84"/>
      <c r="BG312" s="57">
        <f>SUM(BG310:BK311)</f>
        <v>0</v>
      </c>
      <c r="BH312" s="83"/>
      <c r="BI312" s="83"/>
      <c r="BJ312" s="83"/>
      <c r="BK312" s="84"/>
      <c r="BL312" s="57">
        <f>SUM(BL310:BM311)</f>
        <v>0</v>
      </c>
      <c r="BM312" s="84"/>
      <c r="BN312" s="57">
        <f>SUM(BN310:BR311)</f>
        <v>0</v>
      </c>
      <c r="BO312" s="83"/>
      <c r="BP312" s="83"/>
      <c r="BQ312" s="83"/>
      <c r="BR312" s="84"/>
      <c r="BS312" s="57">
        <f>SUM(BS310:BT311)</f>
        <v>0</v>
      </c>
      <c r="BT312" s="84"/>
      <c r="BU312" s="57">
        <f>SUM(BU310:BY311)</f>
        <v>0</v>
      </c>
      <c r="BV312" s="83"/>
      <c r="BW312" s="83"/>
      <c r="BX312" s="83"/>
      <c r="BY312" s="84"/>
      <c r="BZ312" s="57">
        <f>SUM(BZ310:CA311)</f>
        <v>0</v>
      </c>
      <c r="CA312" s="84"/>
    </row>
    <row r="313" spans="1:85" customHeight="1" ht="13.5">
      <c r="A313" s="4"/>
      <c r="B313" s="134" t="s">
        <v>41</v>
      </c>
      <c r="C313" s="171"/>
      <c r="D313" s="171"/>
      <c r="E313" s="172"/>
      <c r="F313" s="128" t="s">
        <v>34</v>
      </c>
      <c r="G313" s="173"/>
      <c r="H313" s="173"/>
      <c r="I313" s="174"/>
      <c r="J313" s="82">
        <v>0</v>
      </c>
      <c r="K313" s="83"/>
      <c r="L313" s="83"/>
      <c r="M313" s="83"/>
      <c r="N313" s="84"/>
      <c r="O313" s="82"/>
      <c r="P313" s="84"/>
      <c r="Q313" s="82">
        <v>0</v>
      </c>
      <c r="R313" s="83"/>
      <c r="S313" s="83"/>
      <c r="T313" s="83"/>
      <c r="U313" s="84"/>
      <c r="V313" s="82"/>
      <c r="W313" s="84"/>
      <c r="X313" s="82">
        <v>0</v>
      </c>
      <c r="Y313" s="83"/>
      <c r="Z313" s="83"/>
      <c r="AA313" s="83"/>
      <c r="AB313" s="84"/>
      <c r="AC313" s="82"/>
      <c r="AD313" s="84"/>
      <c r="AE313" s="82">
        <v>0</v>
      </c>
      <c r="AF313" s="83"/>
      <c r="AG313" s="83"/>
      <c r="AH313" s="83"/>
      <c r="AI313" s="84"/>
      <c r="AJ313" s="82"/>
      <c r="AK313" s="84"/>
      <c r="AL313" s="82">
        <v>0</v>
      </c>
      <c r="AM313" s="83"/>
      <c r="AN313" s="83"/>
      <c r="AO313" s="83"/>
      <c r="AP313" s="84"/>
      <c r="AQ313" s="82"/>
      <c r="AR313" s="84"/>
      <c r="AS313" s="82">
        <v>0</v>
      </c>
      <c r="AT313" s="83"/>
      <c r="AU313" s="83"/>
      <c r="AV313" s="83"/>
      <c r="AW313" s="84"/>
      <c r="AX313" s="82"/>
      <c r="AY313" s="84"/>
      <c r="AZ313" s="82">
        <v>0</v>
      </c>
      <c r="BA313" s="83"/>
      <c r="BB313" s="83"/>
      <c r="BC313" s="83"/>
      <c r="BD313" s="84"/>
      <c r="BE313" s="82"/>
      <c r="BF313" s="84"/>
      <c r="BG313" s="82">
        <v>0</v>
      </c>
      <c r="BH313" s="83"/>
      <c r="BI313" s="83"/>
      <c r="BJ313" s="83"/>
      <c r="BK313" s="84"/>
      <c r="BL313" s="82"/>
      <c r="BM313" s="84"/>
      <c r="BN313" s="82">
        <v>0</v>
      </c>
      <c r="BO313" s="83"/>
      <c r="BP313" s="83"/>
      <c r="BQ313" s="83"/>
      <c r="BR313" s="84"/>
      <c r="BS313" s="82"/>
      <c r="BT313" s="84"/>
      <c r="BU313" s="82">
        <v>0</v>
      </c>
      <c r="BV313" s="83"/>
      <c r="BW313" s="83"/>
      <c r="BX313" s="83"/>
      <c r="BY313" s="84"/>
      <c r="BZ313" s="82"/>
      <c r="CA313" s="84"/>
    </row>
    <row r="314" spans="1:85" customHeight="1" ht="13.5">
      <c r="A314" s="4"/>
      <c r="B314" s="126"/>
      <c r="C314" s="162"/>
      <c r="D314" s="162"/>
      <c r="E314" s="145"/>
      <c r="F314" s="167" t="s">
        <v>35</v>
      </c>
      <c r="G314" s="168"/>
      <c r="H314" s="168"/>
      <c r="I314" s="169"/>
      <c r="J314" s="82">
        <v>0</v>
      </c>
      <c r="K314" s="83"/>
      <c r="L314" s="83"/>
      <c r="M314" s="83"/>
      <c r="N314" s="84"/>
      <c r="O314" s="82"/>
      <c r="P314" s="84"/>
      <c r="Q314" s="82">
        <v>0</v>
      </c>
      <c r="R314" s="83"/>
      <c r="S314" s="83"/>
      <c r="T314" s="83"/>
      <c r="U314" s="84"/>
      <c r="V314" s="82"/>
      <c r="W314" s="84"/>
      <c r="X314" s="82">
        <v>0</v>
      </c>
      <c r="Y314" s="83"/>
      <c r="Z314" s="83"/>
      <c r="AA314" s="83"/>
      <c r="AB314" s="84"/>
      <c r="AC314" s="82"/>
      <c r="AD314" s="84"/>
      <c r="AE314" s="82">
        <v>0</v>
      </c>
      <c r="AF314" s="83"/>
      <c r="AG314" s="83"/>
      <c r="AH314" s="83"/>
      <c r="AI314" s="84"/>
      <c r="AJ314" s="82"/>
      <c r="AK314" s="84"/>
      <c r="AL314" s="82">
        <v>0</v>
      </c>
      <c r="AM314" s="83"/>
      <c r="AN314" s="83"/>
      <c r="AO314" s="83"/>
      <c r="AP314" s="84"/>
      <c r="AQ314" s="82"/>
      <c r="AR314" s="84"/>
      <c r="AS314" s="82">
        <v>0</v>
      </c>
      <c r="AT314" s="83"/>
      <c r="AU314" s="83"/>
      <c r="AV314" s="83"/>
      <c r="AW314" s="84"/>
      <c r="AX314" s="82"/>
      <c r="AY314" s="84"/>
      <c r="AZ314" s="82">
        <v>0</v>
      </c>
      <c r="BA314" s="83"/>
      <c r="BB314" s="83"/>
      <c r="BC314" s="83"/>
      <c r="BD314" s="84"/>
      <c r="BE314" s="82"/>
      <c r="BF314" s="84"/>
      <c r="BG314" s="82">
        <v>0</v>
      </c>
      <c r="BH314" s="83"/>
      <c r="BI314" s="83"/>
      <c r="BJ314" s="83"/>
      <c r="BK314" s="84"/>
      <c r="BL314" s="82"/>
      <c r="BM314" s="84"/>
      <c r="BN314" s="82">
        <v>0</v>
      </c>
      <c r="BO314" s="83"/>
      <c r="BP314" s="83"/>
      <c r="BQ314" s="83"/>
      <c r="BR314" s="84"/>
      <c r="BS314" s="82"/>
      <c r="BT314" s="84"/>
      <c r="BU314" s="82">
        <v>0</v>
      </c>
      <c r="BV314" s="83"/>
      <c r="BW314" s="83"/>
      <c r="BX314" s="83"/>
      <c r="BY314" s="84"/>
      <c r="BZ314" s="82"/>
      <c r="CA314" s="84"/>
    </row>
    <row r="315" spans="1:85" customHeight="1" ht="13.5">
      <c r="A315" s="4"/>
      <c r="B315" s="131"/>
      <c r="C315" s="146"/>
      <c r="D315" s="146"/>
      <c r="E315" s="147"/>
      <c r="F315" s="167" t="s">
        <v>36</v>
      </c>
      <c r="G315" s="168"/>
      <c r="H315" s="168"/>
      <c r="I315" s="169"/>
      <c r="J315" s="57">
        <f>SUM(J313:N314)</f>
        <v>0</v>
      </c>
      <c r="K315" s="83"/>
      <c r="L315" s="83"/>
      <c r="M315" s="83"/>
      <c r="N315" s="84"/>
      <c r="O315" s="57">
        <f>SUM(O313:P314)</f>
        <v>0</v>
      </c>
      <c r="P315" s="84"/>
      <c r="Q315" s="57">
        <f>SUM(Q313:U314)</f>
        <v>0</v>
      </c>
      <c r="R315" s="83"/>
      <c r="S315" s="83"/>
      <c r="T315" s="83"/>
      <c r="U315" s="84"/>
      <c r="V315" s="57">
        <f>SUM(V313:W314)</f>
        <v>0</v>
      </c>
      <c r="W315" s="84"/>
      <c r="X315" s="57">
        <f>SUM(X313:AB314)</f>
        <v>0</v>
      </c>
      <c r="Y315" s="83"/>
      <c r="Z315" s="83"/>
      <c r="AA315" s="83"/>
      <c r="AB315" s="84"/>
      <c r="AC315" s="57">
        <f>SUM(AC313:AD314)</f>
        <v>0</v>
      </c>
      <c r="AD315" s="84"/>
      <c r="AE315" s="57">
        <f>SUM(AE313:AI314)</f>
        <v>0</v>
      </c>
      <c r="AF315" s="83"/>
      <c r="AG315" s="83"/>
      <c r="AH315" s="83"/>
      <c r="AI315" s="84"/>
      <c r="AJ315" s="57">
        <f>SUM(AJ313:AK314)</f>
        <v>0</v>
      </c>
      <c r="AK315" s="84"/>
      <c r="AL315" s="57">
        <f>SUM(AL313:AP314)</f>
        <v>0</v>
      </c>
      <c r="AM315" s="83"/>
      <c r="AN315" s="83"/>
      <c r="AO315" s="83"/>
      <c r="AP315" s="84"/>
      <c r="AQ315" s="57">
        <f>SUM(AQ313:AR314)</f>
        <v>0</v>
      </c>
      <c r="AR315" s="84"/>
      <c r="AS315" s="57">
        <f>SUM(AS313:AW314)</f>
        <v>0</v>
      </c>
      <c r="AT315" s="83"/>
      <c r="AU315" s="83"/>
      <c r="AV315" s="83"/>
      <c r="AW315" s="84"/>
      <c r="AX315" s="57">
        <f>SUM(AX313:AY314)</f>
        <v>0</v>
      </c>
      <c r="AY315" s="84"/>
      <c r="AZ315" s="57">
        <f>SUM(AZ313:BD314)</f>
        <v>0</v>
      </c>
      <c r="BA315" s="83"/>
      <c r="BB315" s="83"/>
      <c r="BC315" s="83"/>
      <c r="BD315" s="84"/>
      <c r="BE315" s="57">
        <f>SUM(BE313:BF314)</f>
        <v>0</v>
      </c>
      <c r="BF315" s="84"/>
      <c r="BG315" s="57">
        <f>SUM(BG313:BK314)</f>
        <v>0</v>
      </c>
      <c r="BH315" s="83"/>
      <c r="BI315" s="83"/>
      <c r="BJ315" s="83"/>
      <c r="BK315" s="84"/>
      <c r="BL315" s="57">
        <f>SUM(BL313:BM314)</f>
        <v>0</v>
      </c>
      <c r="BM315" s="84"/>
      <c r="BN315" s="57">
        <f>SUM(BN313:BR314)</f>
        <v>0</v>
      </c>
      <c r="BO315" s="83"/>
      <c r="BP315" s="83"/>
      <c r="BQ315" s="83"/>
      <c r="BR315" s="84"/>
      <c r="BS315" s="57">
        <f>SUM(BS313:BT314)</f>
        <v>0</v>
      </c>
      <c r="BT315" s="84"/>
      <c r="BU315" s="57">
        <f>SUM(BU313:BY314)</f>
        <v>0</v>
      </c>
      <c r="BV315" s="83"/>
      <c r="BW315" s="83"/>
      <c r="BX315" s="83"/>
      <c r="BY315" s="84"/>
      <c r="BZ315" s="57">
        <f>SUM(BZ313:CA314)</f>
        <v>0</v>
      </c>
      <c r="CA315" s="84"/>
    </row>
    <row r="316" spans="1:85" customHeight="1" ht="13.5">
      <c r="A316" s="4"/>
      <c r="B316" s="134" t="s">
        <v>42</v>
      </c>
      <c r="C316" s="171"/>
      <c r="D316" s="171"/>
      <c r="E316" s="172"/>
      <c r="F316" s="128" t="s">
        <v>34</v>
      </c>
      <c r="G316" s="173"/>
      <c r="H316" s="173"/>
      <c r="I316" s="174"/>
      <c r="J316" s="82">
        <v>0</v>
      </c>
      <c r="K316" s="83"/>
      <c r="L316" s="83"/>
      <c r="M316" s="83"/>
      <c r="N316" s="84"/>
      <c r="O316" s="82"/>
      <c r="P316" s="84"/>
      <c r="Q316" s="82">
        <v>0</v>
      </c>
      <c r="R316" s="83"/>
      <c r="S316" s="83"/>
      <c r="T316" s="83"/>
      <c r="U316" s="84"/>
      <c r="V316" s="82"/>
      <c r="W316" s="84"/>
      <c r="X316" s="82">
        <v>0</v>
      </c>
      <c r="Y316" s="83"/>
      <c r="Z316" s="83"/>
      <c r="AA316" s="83"/>
      <c r="AB316" s="84"/>
      <c r="AC316" s="82"/>
      <c r="AD316" s="84"/>
      <c r="AE316" s="82">
        <v>0</v>
      </c>
      <c r="AF316" s="83"/>
      <c r="AG316" s="83"/>
      <c r="AH316" s="83"/>
      <c r="AI316" s="84"/>
      <c r="AJ316" s="82"/>
      <c r="AK316" s="84"/>
      <c r="AL316" s="82">
        <v>0</v>
      </c>
      <c r="AM316" s="83"/>
      <c r="AN316" s="83"/>
      <c r="AO316" s="83"/>
      <c r="AP316" s="84"/>
      <c r="AQ316" s="82"/>
      <c r="AR316" s="84"/>
      <c r="AS316" s="82">
        <v>0</v>
      </c>
      <c r="AT316" s="83"/>
      <c r="AU316" s="83"/>
      <c r="AV316" s="83"/>
      <c r="AW316" s="84"/>
      <c r="AX316" s="82"/>
      <c r="AY316" s="84"/>
      <c r="AZ316" s="82">
        <v>0</v>
      </c>
      <c r="BA316" s="83"/>
      <c r="BB316" s="83"/>
      <c r="BC316" s="83"/>
      <c r="BD316" s="84"/>
      <c r="BE316" s="82"/>
      <c r="BF316" s="84"/>
      <c r="BG316" s="82">
        <v>0</v>
      </c>
      <c r="BH316" s="83"/>
      <c r="BI316" s="83"/>
      <c r="BJ316" s="83"/>
      <c r="BK316" s="84"/>
      <c r="BL316" s="82"/>
      <c r="BM316" s="84"/>
      <c r="BN316" s="82">
        <v>0</v>
      </c>
      <c r="BO316" s="83"/>
      <c r="BP316" s="83"/>
      <c r="BQ316" s="83"/>
      <c r="BR316" s="84"/>
      <c r="BS316" s="82"/>
      <c r="BT316" s="84"/>
      <c r="BU316" s="82">
        <v>0</v>
      </c>
      <c r="BV316" s="83"/>
      <c r="BW316" s="83"/>
      <c r="BX316" s="83"/>
      <c r="BY316" s="84"/>
      <c r="BZ316" s="82"/>
      <c r="CA316" s="84"/>
    </row>
    <row r="317" spans="1:85" customHeight="1" ht="13.5">
      <c r="A317" s="4"/>
      <c r="B317" s="126"/>
      <c r="C317" s="162"/>
      <c r="D317" s="162"/>
      <c r="E317" s="145"/>
      <c r="F317" s="167" t="s">
        <v>35</v>
      </c>
      <c r="G317" s="168"/>
      <c r="H317" s="168"/>
      <c r="I317" s="169"/>
      <c r="J317" s="82">
        <v>0</v>
      </c>
      <c r="K317" s="83"/>
      <c r="L317" s="83"/>
      <c r="M317" s="83"/>
      <c r="N317" s="84"/>
      <c r="O317" s="82"/>
      <c r="P317" s="84"/>
      <c r="Q317" s="82">
        <v>0</v>
      </c>
      <c r="R317" s="83"/>
      <c r="S317" s="83"/>
      <c r="T317" s="83"/>
      <c r="U317" s="84"/>
      <c r="V317" s="82"/>
      <c r="W317" s="84"/>
      <c r="X317" s="82">
        <v>0</v>
      </c>
      <c r="Y317" s="83"/>
      <c r="Z317" s="83"/>
      <c r="AA317" s="83"/>
      <c r="AB317" s="84"/>
      <c r="AC317" s="82"/>
      <c r="AD317" s="84"/>
      <c r="AE317" s="82">
        <v>0</v>
      </c>
      <c r="AF317" s="83"/>
      <c r="AG317" s="83"/>
      <c r="AH317" s="83"/>
      <c r="AI317" s="84"/>
      <c r="AJ317" s="82"/>
      <c r="AK317" s="84"/>
      <c r="AL317" s="82">
        <v>0</v>
      </c>
      <c r="AM317" s="83"/>
      <c r="AN317" s="83"/>
      <c r="AO317" s="83"/>
      <c r="AP317" s="84"/>
      <c r="AQ317" s="82"/>
      <c r="AR317" s="84"/>
      <c r="AS317" s="82">
        <v>0</v>
      </c>
      <c r="AT317" s="83"/>
      <c r="AU317" s="83"/>
      <c r="AV317" s="83"/>
      <c r="AW317" s="84"/>
      <c r="AX317" s="82"/>
      <c r="AY317" s="84"/>
      <c r="AZ317" s="82">
        <v>0</v>
      </c>
      <c r="BA317" s="83"/>
      <c r="BB317" s="83"/>
      <c r="BC317" s="83"/>
      <c r="BD317" s="84"/>
      <c r="BE317" s="82"/>
      <c r="BF317" s="84"/>
      <c r="BG317" s="82">
        <v>0</v>
      </c>
      <c r="BH317" s="83"/>
      <c r="BI317" s="83"/>
      <c r="BJ317" s="83"/>
      <c r="BK317" s="84"/>
      <c r="BL317" s="82"/>
      <c r="BM317" s="84"/>
      <c r="BN317" s="82">
        <v>0</v>
      </c>
      <c r="BO317" s="83"/>
      <c r="BP317" s="83"/>
      <c r="BQ317" s="83"/>
      <c r="BR317" s="84"/>
      <c r="BS317" s="82"/>
      <c r="BT317" s="84"/>
      <c r="BU317" s="82">
        <v>0</v>
      </c>
      <c r="BV317" s="83"/>
      <c r="BW317" s="83"/>
      <c r="BX317" s="83"/>
      <c r="BY317" s="84"/>
      <c r="BZ317" s="82"/>
      <c r="CA317" s="84"/>
    </row>
    <row r="318" spans="1:85" customHeight="1" ht="13.5">
      <c r="A318" s="4"/>
      <c r="B318" s="131"/>
      <c r="C318" s="146"/>
      <c r="D318" s="146"/>
      <c r="E318" s="147"/>
      <c r="F318" s="167" t="s">
        <v>36</v>
      </c>
      <c r="G318" s="168"/>
      <c r="H318" s="168"/>
      <c r="I318" s="169"/>
      <c r="J318" s="57">
        <f>SUM(J316:N317)</f>
        <v>0</v>
      </c>
      <c r="K318" s="83"/>
      <c r="L318" s="83"/>
      <c r="M318" s="83"/>
      <c r="N318" s="84"/>
      <c r="O318" s="57">
        <f>SUM(O316:P317)</f>
        <v>0</v>
      </c>
      <c r="P318" s="84"/>
      <c r="Q318" s="57">
        <f>SUM(Q316:U317)</f>
        <v>0</v>
      </c>
      <c r="R318" s="83"/>
      <c r="S318" s="83"/>
      <c r="T318" s="83"/>
      <c r="U318" s="84"/>
      <c r="V318" s="57">
        <f>SUM(V316:W317)</f>
        <v>0</v>
      </c>
      <c r="W318" s="84"/>
      <c r="X318" s="57">
        <f>SUM(X316:AB317)</f>
        <v>0</v>
      </c>
      <c r="Y318" s="83"/>
      <c r="Z318" s="83"/>
      <c r="AA318" s="83"/>
      <c r="AB318" s="84"/>
      <c r="AC318" s="57">
        <f>SUM(AC316:AD317)</f>
        <v>0</v>
      </c>
      <c r="AD318" s="84"/>
      <c r="AE318" s="57">
        <f>SUM(AE316:AI317)</f>
        <v>0</v>
      </c>
      <c r="AF318" s="83"/>
      <c r="AG318" s="83"/>
      <c r="AH318" s="83"/>
      <c r="AI318" s="84"/>
      <c r="AJ318" s="57">
        <f>SUM(AJ316:AK317)</f>
        <v>0</v>
      </c>
      <c r="AK318" s="84"/>
      <c r="AL318" s="57">
        <f>SUM(AL316:AP317)</f>
        <v>0</v>
      </c>
      <c r="AM318" s="83"/>
      <c r="AN318" s="83"/>
      <c r="AO318" s="83"/>
      <c r="AP318" s="84"/>
      <c r="AQ318" s="57">
        <f>SUM(AQ316:AR317)</f>
        <v>0</v>
      </c>
      <c r="AR318" s="84"/>
      <c r="AS318" s="57">
        <f>SUM(AS316:AW317)</f>
        <v>0</v>
      </c>
      <c r="AT318" s="83"/>
      <c r="AU318" s="83"/>
      <c r="AV318" s="83"/>
      <c r="AW318" s="84"/>
      <c r="AX318" s="57">
        <f>SUM(AX316:AY317)</f>
        <v>0</v>
      </c>
      <c r="AY318" s="84"/>
      <c r="AZ318" s="57">
        <f>SUM(AZ316:BD317)</f>
        <v>0</v>
      </c>
      <c r="BA318" s="83"/>
      <c r="BB318" s="83"/>
      <c r="BC318" s="83"/>
      <c r="BD318" s="84"/>
      <c r="BE318" s="57">
        <f>SUM(BE316:BF317)</f>
        <v>0</v>
      </c>
      <c r="BF318" s="84"/>
      <c r="BG318" s="57">
        <f>SUM(BG316:BK317)</f>
        <v>0</v>
      </c>
      <c r="BH318" s="83"/>
      <c r="BI318" s="83"/>
      <c r="BJ318" s="83"/>
      <c r="BK318" s="84"/>
      <c r="BL318" s="57">
        <f>SUM(BL316:BM317)</f>
        <v>0</v>
      </c>
      <c r="BM318" s="84"/>
      <c r="BN318" s="57">
        <f>SUM(BN316:BR317)</f>
        <v>0</v>
      </c>
      <c r="BO318" s="83"/>
      <c r="BP318" s="83"/>
      <c r="BQ318" s="83"/>
      <c r="BR318" s="84"/>
      <c r="BS318" s="57">
        <f>SUM(BS316:BT317)</f>
        <v>0</v>
      </c>
      <c r="BT318" s="84"/>
      <c r="BU318" s="57">
        <f>SUM(BU316:BY317)</f>
        <v>0</v>
      </c>
      <c r="BV318" s="83"/>
      <c r="BW318" s="83"/>
      <c r="BX318" s="83"/>
      <c r="BY318" s="84"/>
      <c r="BZ318" s="57">
        <f>SUM(BZ316:CA317)</f>
        <v>0</v>
      </c>
      <c r="CA318" s="84"/>
    </row>
    <row r="319" spans="1:85" customHeight="1" ht="13.5">
      <c r="A319" s="4"/>
      <c r="B319" s="134" t="s">
        <v>43</v>
      </c>
      <c r="C319" s="171"/>
      <c r="D319" s="171"/>
      <c r="E319" s="172"/>
      <c r="F319" s="128" t="s">
        <v>34</v>
      </c>
      <c r="G319" s="173"/>
      <c r="H319" s="173"/>
      <c r="I319" s="174"/>
      <c r="J319" s="82">
        <v>0</v>
      </c>
      <c r="K319" s="83"/>
      <c r="L319" s="83"/>
      <c r="M319" s="83"/>
      <c r="N319" s="84"/>
      <c r="O319" s="82"/>
      <c r="P319" s="84"/>
      <c r="Q319" s="82">
        <v>0</v>
      </c>
      <c r="R319" s="83"/>
      <c r="S319" s="83"/>
      <c r="T319" s="83"/>
      <c r="U319" s="84"/>
      <c r="V319" s="82"/>
      <c r="W319" s="84"/>
      <c r="X319" s="82">
        <v>0</v>
      </c>
      <c r="Y319" s="83"/>
      <c r="Z319" s="83"/>
      <c r="AA319" s="83"/>
      <c r="AB319" s="84"/>
      <c r="AC319" s="82"/>
      <c r="AD319" s="84"/>
      <c r="AE319" s="82">
        <v>0</v>
      </c>
      <c r="AF319" s="83"/>
      <c r="AG319" s="83"/>
      <c r="AH319" s="83"/>
      <c r="AI319" s="84"/>
      <c r="AJ319" s="82"/>
      <c r="AK319" s="84"/>
      <c r="AL319" s="82">
        <v>0</v>
      </c>
      <c r="AM319" s="83"/>
      <c r="AN319" s="83"/>
      <c r="AO319" s="83"/>
      <c r="AP319" s="84"/>
      <c r="AQ319" s="82"/>
      <c r="AR319" s="84"/>
      <c r="AS319" s="82">
        <v>0</v>
      </c>
      <c r="AT319" s="83"/>
      <c r="AU319" s="83"/>
      <c r="AV319" s="83"/>
      <c r="AW319" s="84"/>
      <c r="AX319" s="82"/>
      <c r="AY319" s="84"/>
      <c r="AZ319" s="82">
        <v>0</v>
      </c>
      <c r="BA319" s="83"/>
      <c r="BB319" s="83"/>
      <c r="BC319" s="83"/>
      <c r="BD319" s="84"/>
      <c r="BE319" s="82"/>
      <c r="BF319" s="84"/>
      <c r="BG319" s="82">
        <v>0</v>
      </c>
      <c r="BH319" s="83"/>
      <c r="BI319" s="83"/>
      <c r="BJ319" s="83"/>
      <c r="BK319" s="84"/>
      <c r="BL319" s="82"/>
      <c r="BM319" s="84"/>
      <c r="BN319" s="82">
        <v>0</v>
      </c>
      <c r="BO319" s="83"/>
      <c r="BP319" s="83"/>
      <c r="BQ319" s="83"/>
      <c r="BR319" s="84"/>
      <c r="BS319" s="82"/>
      <c r="BT319" s="84"/>
      <c r="BU319" s="82">
        <v>0</v>
      </c>
      <c r="BV319" s="83"/>
      <c r="BW319" s="83"/>
      <c r="BX319" s="83"/>
      <c r="BY319" s="84"/>
      <c r="BZ319" s="82"/>
      <c r="CA319" s="84"/>
    </row>
    <row r="320" spans="1:85" customHeight="1" ht="13.5">
      <c r="A320" s="4"/>
      <c r="B320" s="126"/>
      <c r="C320" s="162"/>
      <c r="D320" s="162"/>
      <c r="E320" s="145"/>
      <c r="F320" s="167" t="s">
        <v>35</v>
      </c>
      <c r="G320" s="168"/>
      <c r="H320" s="168"/>
      <c r="I320" s="169"/>
      <c r="J320" s="82">
        <v>0</v>
      </c>
      <c r="K320" s="83"/>
      <c r="L320" s="83"/>
      <c r="M320" s="83"/>
      <c r="N320" s="84"/>
      <c r="O320" s="82"/>
      <c r="P320" s="84"/>
      <c r="Q320" s="82">
        <v>0</v>
      </c>
      <c r="R320" s="83"/>
      <c r="S320" s="83"/>
      <c r="T320" s="83"/>
      <c r="U320" s="84"/>
      <c r="V320" s="82"/>
      <c r="W320" s="84"/>
      <c r="X320" s="82">
        <v>0</v>
      </c>
      <c r="Y320" s="83"/>
      <c r="Z320" s="83"/>
      <c r="AA320" s="83"/>
      <c r="AB320" s="84"/>
      <c r="AC320" s="82"/>
      <c r="AD320" s="84"/>
      <c r="AE320" s="82">
        <v>0</v>
      </c>
      <c r="AF320" s="83"/>
      <c r="AG320" s="83"/>
      <c r="AH320" s="83"/>
      <c r="AI320" s="84"/>
      <c r="AJ320" s="82"/>
      <c r="AK320" s="84"/>
      <c r="AL320" s="82">
        <v>0</v>
      </c>
      <c r="AM320" s="83"/>
      <c r="AN320" s="83"/>
      <c r="AO320" s="83"/>
      <c r="AP320" s="84"/>
      <c r="AQ320" s="82"/>
      <c r="AR320" s="84"/>
      <c r="AS320" s="82">
        <v>0</v>
      </c>
      <c r="AT320" s="83"/>
      <c r="AU320" s="83"/>
      <c r="AV320" s="83"/>
      <c r="AW320" s="84"/>
      <c r="AX320" s="82"/>
      <c r="AY320" s="84"/>
      <c r="AZ320" s="82">
        <v>0</v>
      </c>
      <c r="BA320" s="83"/>
      <c r="BB320" s="83"/>
      <c r="BC320" s="83"/>
      <c r="BD320" s="84"/>
      <c r="BE320" s="82"/>
      <c r="BF320" s="84"/>
      <c r="BG320" s="82">
        <v>0</v>
      </c>
      <c r="BH320" s="83"/>
      <c r="BI320" s="83"/>
      <c r="BJ320" s="83"/>
      <c r="BK320" s="84"/>
      <c r="BL320" s="82"/>
      <c r="BM320" s="84"/>
      <c r="BN320" s="82">
        <v>0</v>
      </c>
      <c r="BO320" s="83"/>
      <c r="BP320" s="83"/>
      <c r="BQ320" s="83"/>
      <c r="BR320" s="84"/>
      <c r="BS320" s="82"/>
      <c r="BT320" s="84"/>
      <c r="BU320" s="82">
        <v>0</v>
      </c>
      <c r="BV320" s="83"/>
      <c r="BW320" s="83"/>
      <c r="BX320" s="83"/>
      <c r="BY320" s="84"/>
      <c r="BZ320" s="82"/>
      <c r="CA320" s="84"/>
    </row>
    <row r="321" spans="1:85" customHeight="1" ht="13.5">
      <c r="A321" s="4"/>
      <c r="B321" s="131"/>
      <c r="C321" s="146"/>
      <c r="D321" s="146"/>
      <c r="E321" s="147"/>
      <c r="F321" s="167" t="s">
        <v>36</v>
      </c>
      <c r="G321" s="168"/>
      <c r="H321" s="168"/>
      <c r="I321" s="169"/>
      <c r="J321" s="57">
        <f>SUM(J319:N320)</f>
        <v>0</v>
      </c>
      <c r="K321" s="83"/>
      <c r="L321" s="83"/>
      <c r="M321" s="83"/>
      <c r="N321" s="84"/>
      <c r="O321" s="57">
        <f>SUM(O319:P320)</f>
        <v>0</v>
      </c>
      <c r="P321" s="84"/>
      <c r="Q321" s="57">
        <f>SUM(Q319:U320)</f>
        <v>0</v>
      </c>
      <c r="R321" s="83"/>
      <c r="S321" s="83"/>
      <c r="T321" s="83"/>
      <c r="U321" s="84"/>
      <c r="V321" s="57">
        <f>SUM(V319:W320)</f>
        <v>0</v>
      </c>
      <c r="W321" s="84"/>
      <c r="X321" s="57">
        <f>SUM(X319:AB320)</f>
        <v>0</v>
      </c>
      <c r="Y321" s="83"/>
      <c r="Z321" s="83"/>
      <c r="AA321" s="83"/>
      <c r="AB321" s="84"/>
      <c r="AC321" s="57">
        <f>SUM(AC319:AD320)</f>
        <v>0</v>
      </c>
      <c r="AD321" s="84"/>
      <c r="AE321" s="57">
        <f>SUM(AE319:AI320)</f>
        <v>0</v>
      </c>
      <c r="AF321" s="83"/>
      <c r="AG321" s="83"/>
      <c r="AH321" s="83"/>
      <c r="AI321" s="84"/>
      <c r="AJ321" s="57">
        <f>SUM(AJ319:AK320)</f>
        <v>0</v>
      </c>
      <c r="AK321" s="84"/>
      <c r="AL321" s="57">
        <f>SUM(AL319:AP320)</f>
        <v>0</v>
      </c>
      <c r="AM321" s="83"/>
      <c r="AN321" s="83"/>
      <c r="AO321" s="83"/>
      <c r="AP321" s="84"/>
      <c r="AQ321" s="57">
        <f>SUM(AQ319:AR320)</f>
        <v>0</v>
      </c>
      <c r="AR321" s="84"/>
      <c r="AS321" s="57">
        <f>SUM(AS319:AW320)</f>
        <v>0</v>
      </c>
      <c r="AT321" s="83"/>
      <c r="AU321" s="83"/>
      <c r="AV321" s="83"/>
      <c r="AW321" s="84"/>
      <c r="AX321" s="57">
        <f>SUM(AX319:AY320)</f>
        <v>0</v>
      </c>
      <c r="AY321" s="84"/>
      <c r="AZ321" s="57">
        <f>SUM(AZ319:BD320)</f>
        <v>0</v>
      </c>
      <c r="BA321" s="83"/>
      <c r="BB321" s="83"/>
      <c r="BC321" s="83"/>
      <c r="BD321" s="84"/>
      <c r="BE321" s="57">
        <f>SUM(BE319:BF320)</f>
        <v>0</v>
      </c>
      <c r="BF321" s="84"/>
      <c r="BG321" s="57">
        <f>SUM(BG319:BK320)</f>
        <v>0</v>
      </c>
      <c r="BH321" s="83"/>
      <c r="BI321" s="83"/>
      <c r="BJ321" s="83"/>
      <c r="BK321" s="84"/>
      <c r="BL321" s="57">
        <f>SUM(BL319:BM320)</f>
        <v>0</v>
      </c>
      <c r="BM321" s="84"/>
      <c r="BN321" s="57">
        <f>SUM(BN319:BR320)</f>
        <v>0</v>
      </c>
      <c r="BO321" s="83"/>
      <c r="BP321" s="83"/>
      <c r="BQ321" s="83"/>
      <c r="BR321" s="84"/>
      <c r="BS321" s="57">
        <f>SUM(BS319:BT320)</f>
        <v>0</v>
      </c>
      <c r="BT321" s="84"/>
      <c r="BU321" s="57">
        <f>SUM(BU319:BY320)</f>
        <v>0</v>
      </c>
      <c r="BV321" s="83"/>
      <c r="BW321" s="83"/>
      <c r="BX321" s="83"/>
      <c r="BY321" s="84"/>
      <c r="BZ321" s="57">
        <f>SUM(BZ319:CA320)</f>
        <v>0</v>
      </c>
      <c r="CA321" s="84"/>
    </row>
    <row r="322" spans="1:85" customHeight="1" ht="13.5">
      <c r="A322" s="4"/>
      <c r="B322" s="134" t="s">
        <v>44</v>
      </c>
      <c r="C322" s="171"/>
      <c r="D322" s="171"/>
      <c r="E322" s="172"/>
      <c r="F322" s="128" t="s">
        <v>34</v>
      </c>
      <c r="G322" s="173"/>
      <c r="H322" s="173"/>
      <c r="I322" s="174"/>
      <c r="J322" s="82">
        <v>0</v>
      </c>
      <c r="K322" s="83"/>
      <c r="L322" s="83"/>
      <c r="M322" s="83"/>
      <c r="N322" s="84"/>
      <c r="O322" s="82"/>
      <c r="P322" s="84"/>
      <c r="Q322" s="82">
        <v>0</v>
      </c>
      <c r="R322" s="83"/>
      <c r="S322" s="83"/>
      <c r="T322" s="83"/>
      <c r="U322" s="84"/>
      <c r="V322" s="82"/>
      <c r="W322" s="84"/>
      <c r="X322" s="82">
        <v>0</v>
      </c>
      <c r="Y322" s="83"/>
      <c r="Z322" s="83"/>
      <c r="AA322" s="83"/>
      <c r="AB322" s="84"/>
      <c r="AC322" s="82"/>
      <c r="AD322" s="84"/>
      <c r="AE322" s="82">
        <v>0</v>
      </c>
      <c r="AF322" s="83"/>
      <c r="AG322" s="83"/>
      <c r="AH322" s="83"/>
      <c r="AI322" s="84"/>
      <c r="AJ322" s="82"/>
      <c r="AK322" s="84"/>
      <c r="AL322" s="82">
        <v>0</v>
      </c>
      <c r="AM322" s="83"/>
      <c r="AN322" s="83"/>
      <c r="AO322" s="83"/>
      <c r="AP322" s="84"/>
      <c r="AQ322" s="82"/>
      <c r="AR322" s="84"/>
      <c r="AS322" s="82">
        <v>0</v>
      </c>
      <c r="AT322" s="83"/>
      <c r="AU322" s="83"/>
      <c r="AV322" s="83"/>
      <c r="AW322" s="84"/>
      <c r="AX322" s="82"/>
      <c r="AY322" s="84"/>
      <c r="AZ322" s="82">
        <v>0</v>
      </c>
      <c r="BA322" s="83"/>
      <c r="BB322" s="83"/>
      <c r="BC322" s="83"/>
      <c r="BD322" s="84"/>
      <c r="BE322" s="82"/>
      <c r="BF322" s="84"/>
      <c r="BG322" s="82">
        <v>0</v>
      </c>
      <c r="BH322" s="83"/>
      <c r="BI322" s="83"/>
      <c r="BJ322" s="83"/>
      <c r="BK322" s="84"/>
      <c r="BL322" s="82"/>
      <c r="BM322" s="84"/>
      <c r="BN322" s="82">
        <v>0</v>
      </c>
      <c r="BO322" s="83"/>
      <c r="BP322" s="83"/>
      <c r="BQ322" s="83"/>
      <c r="BR322" s="84"/>
      <c r="BS322" s="82"/>
      <c r="BT322" s="84"/>
      <c r="BU322" s="82">
        <v>0</v>
      </c>
      <c r="BV322" s="83"/>
      <c r="BW322" s="83"/>
      <c r="BX322" s="83"/>
      <c r="BY322" s="84"/>
      <c r="BZ322" s="82"/>
      <c r="CA322" s="84"/>
    </row>
    <row r="323" spans="1:85" customHeight="1" ht="13.5">
      <c r="A323" s="4"/>
      <c r="B323" s="126"/>
      <c r="C323" s="162"/>
      <c r="D323" s="162"/>
      <c r="E323" s="145"/>
      <c r="F323" s="167" t="s">
        <v>35</v>
      </c>
      <c r="G323" s="168"/>
      <c r="H323" s="168"/>
      <c r="I323" s="169"/>
      <c r="J323" s="82">
        <v>0</v>
      </c>
      <c r="K323" s="83"/>
      <c r="L323" s="83"/>
      <c r="M323" s="83"/>
      <c r="N323" s="84"/>
      <c r="O323" s="82"/>
      <c r="P323" s="84"/>
      <c r="Q323" s="82">
        <v>0</v>
      </c>
      <c r="R323" s="83"/>
      <c r="S323" s="83"/>
      <c r="T323" s="83"/>
      <c r="U323" s="84"/>
      <c r="V323" s="82"/>
      <c r="W323" s="84"/>
      <c r="X323" s="82">
        <v>0</v>
      </c>
      <c r="Y323" s="83"/>
      <c r="Z323" s="83"/>
      <c r="AA323" s="83"/>
      <c r="AB323" s="84"/>
      <c r="AC323" s="82"/>
      <c r="AD323" s="84"/>
      <c r="AE323" s="82">
        <v>0</v>
      </c>
      <c r="AF323" s="83"/>
      <c r="AG323" s="83"/>
      <c r="AH323" s="83"/>
      <c r="AI323" s="84"/>
      <c r="AJ323" s="82"/>
      <c r="AK323" s="84"/>
      <c r="AL323" s="82">
        <v>0</v>
      </c>
      <c r="AM323" s="83"/>
      <c r="AN323" s="83"/>
      <c r="AO323" s="83"/>
      <c r="AP323" s="84"/>
      <c r="AQ323" s="82"/>
      <c r="AR323" s="84"/>
      <c r="AS323" s="82">
        <v>0</v>
      </c>
      <c r="AT323" s="83"/>
      <c r="AU323" s="83"/>
      <c r="AV323" s="83"/>
      <c r="AW323" s="84"/>
      <c r="AX323" s="82"/>
      <c r="AY323" s="84"/>
      <c r="AZ323" s="82">
        <v>0</v>
      </c>
      <c r="BA323" s="83"/>
      <c r="BB323" s="83"/>
      <c r="BC323" s="83"/>
      <c r="BD323" s="84"/>
      <c r="BE323" s="82"/>
      <c r="BF323" s="84"/>
      <c r="BG323" s="82">
        <v>0</v>
      </c>
      <c r="BH323" s="83"/>
      <c r="BI323" s="83"/>
      <c r="BJ323" s="83"/>
      <c r="BK323" s="84"/>
      <c r="BL323" s="82"/>
      <c r="BM323" s="84"/>
      <c r="BN323" s="82">
        <v>0</v>
      </c>
      <c r="BO323" s="83"/>
      <c r="BP323" s="83"/>
      <c r="BQ323" s="83"/>
      <c r="BR323" s="84"/>
      <c r="BS323" s="82"/>
      <c r="BT323" s="84"/>
      <c r="BU323" s="82">
        <v>0</v>
      </c>
      <c r="BV323" s="83"/>
      <c r="BW323" s="83"/>
      <c r="BX323" s="83"/>
      <c r="BY323" s="84"/>
      <c r="BZ323" s="82"/>
      <c r="CA323" s="84"/>
    </row>
    <row r="324" spans="1:85" customHeight="1" ht="13.5">
      <c r="A324" s="4"/>
      <c r="B324" s="126"/>
      <c r="C324" s="162"/>
      <c r="D324" s="162"/>
      <c r="E324" s="145"/>
      <c r="F324" s="167" t="s">
        <v>36</v>
      </c>
      <c r="G324" s="168"/>
      <c r="H324" s="168"/>
      <c r="I324" s="169"/>
      <c r="J324" s="57">
        <f>SUM(J322:N323)</f>
        <v>0</v>
      </c>
      <c r="K324" s="83"/>
      <c r="L324" s="83"/>
      <c r="M324" s="83"/>
      <c r="N324" s="84"/>
      <c r="O324" s="57">
        <f>SUM(O322:P323)</f>
        <v>0</v>
      </c>
      <c r="P324" s="84"/>
      <c r="Q324" s="57">
        <f>SUM(Q322:U323)</f>
        <v>0</v>
      </c>
      <c r="R324" s="83"/>
      <c r="S324" s="83"/>
      <c r="T324" s="83"/>
      <c r="U324" s="84"/>
      <c r="V324" s="57">
        <f>SUM(V322:W323)</f>
        <v>0</v>
      </c>
      <c r="W324" s="84"/>
      <c r="X324" s="57">
        <f>SUM(X322:AB323)</f>
        <v>0</v>
      </c>
      <c r="Y324" s="83"/>
      <c r="Z324" s="83"/>
      <c r="AA324" s="83"/>
      <c r="AB324" s="84"/>
      <c r="AC324" s="57">
        <f>SUM(AC322:AD323)</f>
        <v>0</v>
      </c>
      <c r="AD324" s="84"/>
      <c r="AE324" s="57">
        <f>SUM(AE322:AI323)</f>
        <v>0</v>
      </c>
      <c r="AF324" s="83"/>
      <c r="AG324" s="83"/>
      <c r="AH324" s="83"/>
      <c r="AI324" s="84"/>
      <c r="AJ324" s="57">
        <f>SUM(AJ322:AK323)</f>
        <v>0</v>
      </c>
      <c r="AK324" s="84"/>
      <c r="AL324" s="57">
        <f>SUM(AL322:AP323)</f>
        <v>0</v>
      </c>
      <c r="AM324" s="83"/>
      <c r="AN324" s="83"/>
      <c r="AO324" s="83"/>
      <c r="AP324" s="84"/>
      <c r="AQ324" s="57">
        <f>SUM(AQ322:AR323)</f>
        <v>0</v>
      </c>
      <c r="AR324" s="84"/>
      <c r="AS324" s="57">
        <f>SUM(AS322:AW323)</f>
        <v>0</v>
      </c>
      <c r="AT324" s="83"/>
      <c r="AU324" s="83"/>
      <c r="AV324" s="83"/>
      <c r="AW324" s="84"/>
      <c r="AX324" s="57">
        <f>SUM(AX322:AY323)</f>
        <v>0</v>
      </c>
      <c r="AY324" s="84"/>
      <c r="AZ324" s="57">
        <f>SUM(AZ322:BD323)</f>
        <v>0</v>
      </c>
      <c r="BA324" s="83"/>
      <c r="BB324" s="83"/>
      <c r="BC324" s="83"/>
      <c r="BD324" s="84"/>
      <c r="BE324" s="57">
        <f>SUM(BE322:BF323)</f>
        <v>0</v>
      </c>
      <c r="BF324" s="84"/>
      <c r="BG324" s="57">
        <f>SUM(BG322:BK323)</f>
        <v>0</v>
      </c>
      <c r="BH324" s="83"/>
      <c r="BI324" s="83"/>
      <c r="BJ324" s="83"/>
      <c r="BK324" s="84"/>
      <c r="BL324" s="57">
        <f>SUM(BL322:BM323)</f>
        <v>0</v>
      </c>
      <c r="BM324" s="84"/>
      <c r="BN324" s="57">
        <f>SUM(BN322:BR323)</f>
        <v>0</v>
      </c>
      <c r="BO324" s="83"/>
      <c r="BP324" s="83"/>
      <c r="BQ324" s="83"/>
      <c r="BR324" s="84"/>
      <c r="BS324" s="57">
        <f>SUM(BS322:BT323)</f>
        <v>0</v>
      </c>
      <c r="BT324" s="84"/>
      <c r="BU324" s="57">
        <f>SUM(BU322:BY323)</f>
        <v>0</v>
      </c>
      <c r="BV324" s="83"/>
      <c r="BW324" s="83"/>
      <c r="BX324" s="83"/>
      <c r="BY324" s="84"/>
      <c r="BZ324" s="57">
        <f>SUM(BZ322:CA323)</f>
        <v>0</v>
      </c>
      <c r="CA324" s="84"/>
    </row>
    <row r="325" spans="1:85" customHeight="1" ht="13.5">
      <c r="A325" s="41"/>
      <c r="B325" s="175" t="s">
        <v>45</v>
      </c>
      <c r="C325" s="175"/>
      <c r="D325" s="175"/>
      <c r="E325" s="175"/>
      <c r="F325" s="173" t="s">
        <v>34</v>
      </c>
      <c r="G325" s="173"/>
      <c r="H325" s="173"/>
      <c r="I325" s="174"/>
      <c r="J325" s="57">
        <f>SUM(J322,J319,J316,J313,J310,J307,J304,J301,J298)</f>
        <v>222</v>
      </c>
      <c r="K325" s="83"/>
      <c r="L325" s="83"/>
      <c r="M325" s="83"/>
      <c r="N325" s="84"/>
      <c r="O325" s="82"/>
      <c r="P325" s="84"/>
      <c r="Q325" s="57">
        <f>SUM(Q322,Q319,Q316,Q313,Q310,Q307,Q304,Q301,Q298)</f>
        <v>222</v>
      </c>
      <c r="R325" s="83"/>
      <c r="S325" s="83"/>
      <c r="T325" s="83"/>
      <c r="U325" s="84"/>
      <c r="V325" s="82"/>
      <c r="W325" s="84"/>
      <c r="X325" s="57">
        <f>SUM(X322,X319,X316,X313,X310,X307,X304,X301,X298)</f>
        <v>222</v>
      </c>
      <c r="Y325" s="83"/>
      <c r="Z325" s="83"/>
      <c r="AA325" s="83"/>
      <c r="AB325" s="84"/>
      <c r="AC325" s="82"/>
      <c r="AD325" s="84"/>
      <c r="AE325" s="57">
        <f>SUM(AE322,AE319,AE316,AE313,AE310,AE307,AE304,AE301,AE298)</f>
        <v>222</v>
      </c>
      <c r="AF325" s="83"/>
      <c r="AG325" s="83"/>
      <c r="AH325" s="83"/>
      <c r="AI325" s="84"/>
      <c r="AJ325" s="82"/>
      <c r="AK325" s="84"/>
      <c r="AL325" s="57">
        <f>SUM(AL322,AL319,AL316,AL313,AL310,AL307,AL304,AL301,AL298)</f>
        <v>222</v>
      </c>
      <c r="AM325" s="83"/>
      <c r="AN325" s="83"/>
      <c r="AO325" s="83"/>
      <c r="AP325" s="84"/>
      <c r="AQ325" s="82"/>
      <c r="AR325" s="84"/>
      <c r="AS325" s="57">
        <f>SUM(AS322,AS319,AS316,AS313,AS310,AS307,AS304,AS301,AS298)</f>
        <v>222</v>
      </c>
      <c r="AT325" s="83"/>
      <c r="AU325" s="83"/>
      <c r="AV325" s="83"/>
      <c r="AW325" s="84"/>
      <c r="AX325" s="82"/>
      <c r="AY325" s="84"/>
      <c r="AZ325" s="57">
        <f>SUM(AZ322,AZ319,AZ316,AZ313,AZ310,AZ307,AZ304,AZ301,AZ298)</f>
        <v>222</v>
      </c>
      <c r="BA325" s="83"/>
      <c r="BB325" s="83"/>
      <c r="BC325" s="83"/>
      <c r="BD325" s="84"/>
      <c r="BE325" s="82"/>
      <c r="BF325" s="84"/>
      <c r="BG325" s="57">
        <f>SUM(BG322,BG319,BG316,BG313,BG310,BG307,BG304,BG301,BG298)</f>
        <v>222</v>
      </c>
      <c r="BH325" s="83"/>
      <c r="BI325" s="83"/>
      <c r="BJ325" s="83"/>
      <c r="BK325" s="84"/>
      <c r="BL325" s="82"/>
      <c r="BM325" s="84"/>
      <c r="BN325" s="57">
        <f>SUM(BN322,BN319,BN316,BN313,BN310,BN307,BN304,BN301,BN298)</f>
        <v>222</v>
      </c>
      <c r="BO325" s="83"/>
      <c r="BP325" s="83"/>
      <c r="BQ325" s="83"/>
      <c r="BR325" s="84"/>
      <c r="BS325" s="82"/>
      <c r="BT325" s="84"/>
      <c r="BU325" s="57">
        <f>SUM(BU322,BU319,BU316,BU313,BU310,BU307,BU304,BU301,BU298)</f>
        <v>222</v>
      </c>
      <c r="BV325" s="83"/>
      <c r="BW325" s="83"/>
      <c r="BX325" s="83"/>
      <c r="BY325" s="84"/>
      <c r="BZ325" s="82"/>
      <c r="CA325" s="84"/>
    </row>
    <row r="326" spans="1:85" customHeight="1" ht="13.5">
      <c r="A326" s="41"/>
      <c r="B326" s="175"/>
      <c r="C326" s="175"/>
      <c r="D326" s="175"/>
      <c r="E326" s="175"/>
      <c r="F326" s="168" t="s">
        <v>35</v>
      </c>
      <c r="G326" s="168"/>
      <c r="H326" s="168"/>
      <c r="I326" s="169"/>
      <c r="J326" s="57">
        <f>SUM(J323,J320,J317,J314,J311,J308,J305,J302,J299)</f>
        <v>228</v>
      </c>
      <c r="K326" s="83"/>
      <c r="L326" s="83"/>
      <c r="M326" s="83"/>
      <c r="N326" s="84"/>
      <c r="O326" s="82"/>
      <c r="P326" s="84"/>
      <c r="Q326" s="57">
        <f>SUM(Q323,Q320,Q317,Q314,Q311,Q308,Q305,Q302,Q299)</f>
        <v>228</v>
      </c>
      <c r="R326" s="83"/>
      <c r="S326" s="83"/>
      <c r="T326" s="83"/>
      <c r="U326" s="84"/>
      <c r="V326" s="82"/>
      <c r="W326" s="84"/>
      <c r="X326" s="57">
        <f>SUM(X323,X320,X317,X314,X311,X308,X305,X302,X299)</f>
        <v>228</v>
      </c>
      <c r="Y326" s="83"/>
      <c r="Z326" s="83"/>
      <c r="AA326" s="83"/>
      <c r="AB326" s="84"/>
      <c r="AC326" s="82"/>
      <c r="AD326" s="84"/>
      <c r="AE326" s="57">
        <f>SUM(AE323,AE320,AE317,AE314,AE311,AE308,AE305,AE302,AE299)</f>
        <v>228</v>
      </c>
      <c r="AF326" s="83"/>
      <c r="AG326" s="83"/>
      <c r="AH326" s="83"/>
      <c r="AI326" s="84"/>
      <c r="AJ326" s="82"/>
      <c r="AK326" s="84"/>
      <c r="AL326" s="57">
        <f>SUM(AL323,AL320,AL317,AL314,AL311,AL308,AL305,AL302,AL299)</f>
        <v>228</v>
      </c>
      <c r="AM326" s="83"/>
      <c r="AN326" s="83"/>
      <c r="AO326" s="83"/>
      <c r="AP326" s="84"/>
      <c r="AQ326" s="82"/>
      <c r="AR326" s="84"/>
      <c r="AS326" s="57">
        <f>SUM(AS323,AS320,AS317,AS314,AS311,AS308,AS305,AS302,AS299)</f>
        <v>228</v>
      </c>
      <c r="AT326" s="83"/>
      <c r="AU326" s="83"/>
      <c r="AV326" s="83"/>
      <c r="AW326" s="84"/>
      <c r="AX326" s="82"/>
      <c r="AY326" s="84"/>
      <c r="AZ326" s="57">
        <f>SUM(AZ323,AZ320,AZ317,AZ314,AZ311,AZ308,AZ305,AZ302,AZ299)</f>
        <v>228</v>
      </c>
      <c r="BA326" s="83"/>
      <c r="BB326" s="83"/>
      <c r="BC326" s="83"/>
      <c r="BD326" s="84"/>
      <c r="BE326" s="82"/>
      <c r="BF326" s="84"/>
      <c r="BG326" s="57">
        <f>SUM(BG323,BG320,BG317,BG314,BG311,BG308,BG305,BG302,BG299)</f>
        <v>228</v>
      </c>
      <c r="BH326" s="83"/>
      <c r="BI326" s="83"/>
      <c r="BJ326" s="83"/>
      <c r="BK326" s="84"/>
      <c r="BL326" s="82"/>
      <c r="BM326" s="84"/>
      <c r="BN326" s="57">
        <f>SUM(BN323,BN320,BN317,BN314,BN311,BN308,BN305,BN302,BN299)</f>
        <v>228</v>
      </c>
      <c r="BO326" s="83"/>
      <c r="BP326" s="83"/>
      <c r="BQ326" s="83"/>
      <c r="BR326" s="84"/>
      <c r="BS326" s="82"/>
      <c r="BT326" s="84"/>
      <c r="BU326" s="57">
        <f>SUM(BU323,BU320,BU317,BU314,BU311,BU308,BU305,BU302,BU299)</f>
        <v>228</v>
      </c>
      <c r="BV326" s="83"/>
      <c r="BW326" s="83"/>
      <c r="BX326" s="83"/>
      <c r="BY326" s="84"/>
      <c r="BZ326" s="82"/>
      <c r="CA326" s="84"/>
    </row>
    <row r="327" spans="1:85" customHeight="1" ht="13.5">
      <c r="A327" s="41"/>
      <c r="B327" s="175"/>
      <c r="C327" s="175"/>
      <c r="D327" s="175"/>
      <c r="E327" s="175"/>
      <c r="F327" s="168" t="s">
        <v>36</v>
      </c>
      <c r="G327" s="168"/>
      <c r="H327" s="168"/>
      <c r="I327" s="169"/>
      <c r="J327" s="57">
        <f>SUM(J325:N326)</f>
        <v>450</v>
      </c>
      <c r="K327" s="83"/>
      <c r="L327" s="83"/>
      <c r="M327" s="83"/>
      <c r="N327" s="84"/>
      <c r="O327" s="57">
        <f>SUM(O325:P326)</f>
        <v>0</v>
      </c>
      <c r="P327" s="84"/>
      <c r="Q327" s="57">
        <f>SUM(Q325:U326)</f>
        <v>450</v>
      </c>
      <c r="R327" s="83"/>
      <c r="S327" s="83"/>
      <c r="T327" s="83"/>
      <c r="U327" s="84"/>
      <c r="V327" s="57">
        <f>SUM(V325:W326)</f>
        <v>0</v>
      </c>
      <c r="W327" s="84"/>
      <c r="X327" s="57">
        <f>SUM(X325:AB326)</f>
        <v>450</v>
      </c>
      <c r="Y327" s="83"/>
      <c r="Z327" s="83"/>
      <c r="AA327" s="83"/>
      <c r="AB327" s="84"/>
      <c r="AC327" s="57">
        <f>SUM(AC325:AD326)</f>
        <v>0</v>
      </c>
      <c r="AD327" s="84"/>
      <c r="AE327" s="57">
        <f>SUM(AE325:AI326)</f>
        <v>450</v>
      </c>
      <c r="AF327" s="83"/>
      <c r="AG327" s="83"/>
      <c r="AH327" s="83"/>
      <c r="AI327" s="84"/>
      <c r="AJ327" s="57">
        <f>SUM(AJ325:AK326)</f>
        <v>0</v>
      </c>
      <c r="AK327" s="84"/>
      <c r="AL327" s="57">
        <f>SUM(AL325:AP326)</f>
        <v>450</v>
      </c>
      <c r="AM327" s="83"/>
      <c r="AN327" s="83"/>
      <c r="AO327" s="83"/>
      <c r="AP327" s="84"/>
      <c r="AQ327" s="57">
        <f>SUM(AQ325:AR326)</f>
        <v>0</v>
      </c>
      <c r="AR327" s="84"/>
      <c r="AS327" s="57">
        <f>SUM(AS325:AW326)</f>
        <v>450</v>
      </c>
      <c r="AT327" s="83"/>
      <c r="AU327" s="83"/>
      <c r="AV327" s="83"/>
      <c r="AW327" s="84"/>
      <c r="AX327" s="57">
        <f>SUM(AX325:AY326)</f>
        <v>0</v>
      </c>
      <c r="AY327" s="84"/>
      <c r="AZ327" s="57">
        <f>SUM(AZ325:BD326)</f>
        <v>450</v>
      </c>
      <c r="BA327" s="83"/>
      <c r="BB327" s="83"/>
      <c r="BC327" s="83"/>
      <c r="BD327" s="84"/>
      <c r="BE327" s="57">
        <f>SUM(BE325:BF326)</f>
        <v>0</v>
      </c>
      <c r="BF327" s="84"/>
      <c r="BG327" s="57">
        <f>SUM(BG325:BK326)</f>
        <v>450</v>
      </c>
      <c r="BH327" s="83"/>
      <c r="BI327" s="83"/>
      <c r="BJ327" s="83"/>
      <c r="BK327" s="84"/>
      <c r="BL327" s="57">
        <f>SUM(BL325:BM326)</f>
        <v>0</v>
      </c>
      <c r="BM327" s="84"/>
      <c r="BN327" s="57">
        <f>SUM(BN325:BR326)</f>
        <v>450</v>
      </c>
      <c r="BO327" s="83"/>
      <c r="BP327" s="83"/>
      <c r="BQ327" s="83"/>
      <c r="BR327" s="84"/>
      <c r="BS327" s="57">
        <f>SUM(BS325:BT326)</f>
        <v>0</v>
      </c>
      <c r="BT327" s="84"/>
      <c r="BU327" s="57">
        <f>SUM(BU325:BY326)</f>
        <v>450</v>
      </c>
      <c r="BV327" s="83"/>
      <c r="BW327" s="83"/>
      <c r="BX327" s="83"/>
      <c r="BY327" s="84"/>
      <c r="BZ327" s="57">
        <f>SUM(BZ325:CA326)</f>
        <v>0</v>
      </c>
      <c r="CA327" s="84"/>
    </row>
    <row r="328" spans="1:85" customHeight="1" ht="13.5">
      <c r="A328" s="41"/>
      <c r="B328" s="46"/>
      <c r="C328" s="46"/>
      <c r="D328" s="46"/>
      <c r="E328" s="46"/>
      <c r="F328" s="46"/>
      <c r="G328" s="46"/>
      <c r="H328" s="46"/>
      <c r="I328" s="46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  <c r="AC328" s="43"/>
      <c r="AD328" s="43"/>
      <c r="AE328" s="43"/>
      <c r="AF328" s="43"/>
      <c r="AG328" s="43"/>
      <c r="AH328" s="43"/>
      <c r="AI328" s="43"/>
      <c r="AJ328" s="43"/>
      <c r="AK328" s="43"/>
      <c r="AL328" s="43"/>
      <c r="AM328" s="43"/>
      <c r="AN328" s="43"/>
      <c r="AO328" s="43"/>
      <c r="AP328" s="43"/>
      <c r="AQ328" s="43"/>
      <c r="AR328" s="43"/>
      <c r="AS328" s="43"/>
      <c r="AT328" s="43"/>
      <c r="AU328" s="43"/>
      <c r="AV328" s="43"/>
      <c r="AW328" s="43"/>
      <c r="AX328" s="43"/>
      <c r="AY328" s="43"/>
      <c r="AZ328" s="43"/>
      <c r="BA328" s="43"/>
      <c r="BB328" s="43"/>
      <c r="BC328" s="43"/>
      <c r="BD328" s="43"/>
      <c r="BE328" s="43"/>
      <c r="BF328" s="43"/>
      <c r="BG328" s="43"/>
      <c r="BH328" s="43"/>
      <c r="BI328" s="43"/>
      <c r="BJ328" s="43"/>
      <c r="BK328" s="43"/>
      <c r="BL328" s="43"/>
      <c r="BM328" s="43"/>
      <c r="BN328" s="43"/>
      <c r="BO328" s="43"/>
      <c r="BP328" s="43"/>
      <c r="BQ328" s="43"/>
      <c r="BR328" s="43"/>
      <c r="BS328" s="43"/>
      <c r="BT328" s="43"/>
      <c r="BU328" s="43"/>
      <c r="BV328" s="43"/>
      <c r="BW328" s="43"/>
      <c r="BX328" s="43"/>
      <c r="BY328" s="43"/>
      <c r="BZ328" s="43"/>
      <c r="CA328" s="43"/>
    </row>
    <row r="329" spans="1:85" customHeight="1" ht="13.5">
      <c r="A329" s="41"/>
      <c r="B329" s="69" t="s">
        <v>71</v>
      </c>
      <c r="C329" s="45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88" t="s">
        <v>34</v>
      </c>
      <c r="U329" s="88"/>
      <c r="V329" s="88"/>
      <c r="W329" s="88" t="s">
        <v>35</v>
      </c>
      <c r="X329" s="88"/>
      <c r="Y329" s="88"/>
      <c r="Z329" s="88" t="s">
        <v>36</v>
      </c>
      <c r="AA329" s="88"/>
      <c r="AB329" s="88"/>
      <c r="AC329" s="43"/>
      <c r="AD329" s="43"/>
      <c r="AE329" s="43"/>
      <c r="AF329" s="43"/>
      <c r="AG329" s="43"/>
      <c r="AH329" s="43"/>
      <c r="AI329" s="43"/>
      <c r="AJ329" s="43"/>
      <c r="AK329" s="43"/>
      <c r="AL329" s="43"/>
      <c r="AM329" s="43"/>
      <c r="AN329" s="43"/>
      <c r="AO329" s="43"/>
      <c r="AP329" s="43"/>
      <c r="AQ329" s="43"/>
      <c r="AR329" s="43"/>
      <c r="AS329" s="43"/>
      <c r="AT329" s="43"/>
      <c r="AU329" s="43"/>
      <c r="AV329" s="43"/>
      <c r="AW329" s="43"/>
      <c r="AX329" s="43"/>
      <c r="AY329" s="43"/>
      <c r="AZ329" s="43"/>
      <c r="BA329" s="43"/>
      <c r="BB329" s="43"/>
      <c r="BC329" s="43"/>
      <c r="BD329" s="43"/>
      <c r="BE329" s="43"/>
      <c r="BF329" s="43"/>
      <c r="BG329" s="43"/>
      <c r="BH329" s="43"/>
      <c r="BI329" s="43"/>
      <c r="BJ329" s="43"/>
      <c r="BK329" s="43"/>
      <c r="BL329" s="43"/>
      <c r="BM329" s="43"/>
      <c r="BN329" s="43"/>
      <c r="BO329" s="43"/>
      <c r="BP329" s="43"/>
      <c r="BQ329" s="43"/>
      <c r="BR329" s="43"/>
      <c r="BS329" s="43"/>
      <c r="BT329" s="43"/>
      <c r="BU329" s="43"/>
      <c r="BV329" s="43"/>
      <c r="BW329" s="43"/>
      <c r="BX329" s="43"/>
      <c r="BY329" s="43"/>
      <c r="BZ329" s="43"/>
      <c r="CA329" s="43"/>
    </row>
    <row r="330" spans="1:85" customHeight="1" ht="13.5">
      <c r="A330" s="41"/>
      <c r="B330" s="46"/>
      <c r="C330" s="204" t="s">
        <v>72</v>
      </c>
      <c r="D330" s="204"/>
      <c r="E330" s="204"/>
      <c r="F330" s="204"/>
      <c r="G330" s="204"/>
      <c r="H330" s="204"/>
      <c r="I330" s="204"/>
      <c r="J330" s="204"/>
      <c r="K330" s="204"/>
      <c r="L330" s="204"/>
      <c r="M330" s="204"/>
      <c r="N330" s="204"/>
      <c r="O330" s="204"/>
      <c r="P330" s="204"/>
      <c r="Q330" s="204"/>
      <c r="R330" s="204"/>
      <c r="S330" s="204"/>
      <c r="T330" s="88">
        <v>222</v>
      </c>
      <c r="U330" s="88"/>
      <c r="V330" s="88"/>
      <c r="W330" s="88">
        <v>228</v>
      </c>
      <c r="X330" s="88"/>
      <c r="Y330" s="88"/>
      <c r="Z330" s="88">
        <f>SUM(T330:Y330)</f>
        <v>450</v>
      </c>
      <c r="AA330" s="88"/>
      <c r="AB330" s="88"/>
      <c r="AC330" s="43"/>
      <c r="AD330" s="43"/>
      <c r="AE330" s="43"/>
      <c r="AF330" s="43"/>
      <c r="AG330" s="43"/>
      <c r="AH330" s="43"/>
      <c r="AI330" s="43"/>
      <c r="AJ330" s="43"/>
      <c r="AK330" s="43"/>
      <c r="AL330" s="43"/>
      <c r="AM330" s="43"/>
      <c r="AN330" s="43"/>
      <c r="AO330" s="43"/>
      <c r="AP330" s="43"/>
      <c r="AQ330" s="43"/>
      <c r="AR330" s="43"/>
      <c r="AS330" s="43"/>
      <c r="AT330" s="43"/>
      <c r="AU330" s="43"/>
      <c r="AV330" s="43"/>
      <c r="AW330" s="43"/>
      <c r="AX330" s="43"/>
      <c r="AY330" s="43"/>
      <c r="AZ330" s="43"/>
      <c r="BA330" s="43"/>
      <c r="BB330" s="43"/>
      <c r="BC330" s="43"/>
      <c r="BD330" s="43"/>
      <c r="BE330" s="43"/>
      <c r="BF330" s="43"/>
      <c r="BG330" s="43"/>
      <c r="BH330" s="43"/>
      <c r="BI330" s="43"/>
      <c r="BJ330" s="43"/>
      <c r="BK330" s="43"/>
      <c r="BL330" s="43"/>
      <c r="BM330" s="43"/>
      <c r="BN330" s="43"/>
      <c r="BO330" s="43"/>
      <c r="BP330" s="43"/>
      <c r="BQ330" s="43"/>
      <c r="BR330" s="43"/>
      <c r="BS330" s="43"/>
      <c r="BT330" s="43"/>
      <c r="BU330" s="43"/>
      <c r="BV330" s="43"/>
      <c r="BW330" s="43"/>
      <c r="BX330" s="43"/>
      <c r="BY330" s="43"/>
      <c r="BZ330" s="43"/>
      <c r="CA330" s="43"/>
    </row>
    <row r="331" spans="1:85" customHeight="1" ht="13.5">
      <c r="A331" s="41"/>
      <c r="B331" s="46"/>
      <c r="C331" s="204" t="s">
        <v>73</v>
      </c>
      <c r="D331" s="204"/>
      <c r="E331" s="204"/>
      <c r="F331" s="204"/>
      <c r="G331" s="204"/>
      <c r="H331" s="204"/>
      <c r="I331" s="204"/>
      <c r="J331" s="204"/>
      <c r="K331" s="204"/>
      <c r="L331" s="204"/>
      <c r="M331" s="204"/>
      <c r="N331" s="204"/>
      <c r="O331" s="204"/>
      <c r="P331" s="204"/>
      <c r="Q331" s="204"/>
      <c r="R331" s="204"/>
      <c r="S331" s="204"/>
      <c r="T331" s="88">
        <v>222</v>
      </c>
      <c r="U331" s="88"/>
      <c r="V331" s="88"/>
      <c r="W331" s="88">
        <v>228</v>
      </c>
      <c r="X331" s="88"/>
      <c r="Y331" s="88"/>
      <c r="Z331" s="88">
        <f>SUM(T331:Y331)</f>
        <v>450</v>
      </c>
      <c r="AA331" s="88"/>
      <c r="AB331" s="88"/>
      <c r="AC331" s="43"/>
      <c r="AD331" s="43"/>
      <c r="AE331" s="43"/>
      <c r="AF331" s="43"/>
      <c r="AG331" s="43"/>
      <c r="AH331" s="43"/>
      <c r="AI331" s="43"/>
      <c r="AJ331" s="43"/>
      <c r="AK331" s="43"/>
      <c r="AL331" s="43"/>
      <c r="AM331" s="43"/>
      <c r="AN331" s="43"/>
      <c r="AO331" s="43"/>
      <c r="AP331" s="43"/>
      <c r="AQ331" s="43"/>
      <c r="AR331" s="43"/>
      <c r="AS331" s="43"/>
      <c r="AT331" s="43"/>
      <c r="AU331" s="43"/>
      <c r="AV331" s="43"/>
      <c r="AW331" s="43"/>
      <c r="AX331" s="43"/>
      <c r="AY331" s="43"/>
      <c r="AZ331" s="43"/>
      <c r="BA331" s="43"/>
      <c r="BB331" s="43"/>
      <c r="BC331" s="43"/>
      <c r="BD331" s="43"/>
      <c r="BE331" s="43"/>
      <c r="BF331" s="43"/>
      <c r="BG331" s="43"/>
      <c r="BH331" s="43"/>
      <c r="BI331" s="43"/>
      <c r="BJ331" s="43"/>
      <c r="BK331" s="43"/>
      <c r="BL331" s="43"/>
      <c r="BM331" s="43"/>
      <c r="BN331" s="43"/>
      <c r="BO331" s="43"/>
      <c r="BP331" s="43"/>
      <c r="BQ331" s="43"/>
      <c r="BR331" s="43"/>
      <c r="BS331" s="43"/>
      <c r="BT331" s="43"/>
      <c r="BU331" s="43"/>
      <c r="BV331" s="43"/>
      <c r="BW331" s="43"/>
      <c r="BX331" s="43"/>
      <c r="BY331" s="43"/>
      <c r="BZ331" s="43"/>
      <c r="CA331" s="43"/>
    </row>
    <row r="332" spans="1:85" customHeight="1" ht="24">
      <c r="A332" s="41"/>
      <c r="B332" s="46"/>
      <c r="C332" s="204" t="s">
        <v>74</v>
      </c>
      <c r="D332" s="204"/>
      <c r="E332" s="204"/>
      <c r="F332" s="204"/>
      <c r="G332" s="204"/>
      <c r="H332" s="204"/>
      <c r="I332" s="204"/>
      <c r="J332" s="204"/>
      <c r="K332" s="204"/>
      <c r="L332" s="204"/>
      <c r="M332" s="204"/>
      <c r="N332" s="204"/>
      <c r="O332" s="204"/>
      <c r="P332" s="204"/>
      <c r="Q332" s="204"/>
      <c r="R332" s="204"/>
      <c r="S332" s="204"/>
      <c r="T332" s="89">
        <f>T330/T331</f>
        <v>1</v>
      </c>
      <c r="U332" s="89"/>
      <c r="V332" s="89"/>
      <c r="W332" s="89">
        <f>W330/W331</f>
        <v>1</v>
      </c>
      <c r="X332" s="89"/>
      <c r="Y332" s="89"/>
      <c r="Z332" s="89">
        <f>Z330/Z331</f>
        <v>1</v>
      </c>
      <c r="AA332" s="89"/>
      <c r="AB332" s="89"/>
      <c r="AC332" s="43"/>
      <c r="AD332" s="43"/>
      <c r="AE332" s="43"/>
      <c r="AF332" s="43"/>
      <c r="AG332" s="43"/>
      <c r="AH332" s="43"/>
      <c r="AI332" s="43"/>
      <c r="AJ332" s="43"/>
      <c r="AK332" s="43"/>
      <c r="AL332" s="43"/>
      <c r="AM332" s="43"/>
      <c r="AN332" s="43"/>
      <c r="AO332" s="43"/>
      <c r="AP332" s="43"/>
      <c r="AQ332" s="43"/>
      <c r="AR332" s="43"/>
      <c r="AS332" s="43"/>
      <c r="AT332" s="43"/>
      <c r="AU332" s="43"/>
      <c r="AV332" s="43"/>
      <c r="AW332" s="43"/>
      <c r="AX332" s="43"/>
      <c r="AY332" s="43"/>
      <c r="AZ332" s="43"/>
      <c r="BA332" s="43"/>
      <c r="BB332" s="43"/>
      <c r="BC332" s="43"/>
      <c r="BD332" s="43"/>
      <c r="BE332" s="43"/>
      <c r="BF332" s="43"/>
      <c r="BG332" s="43"/>
      <c r="BH332" s="43"/>
      <c r="BI332" s="43"/>
      <c r="BJ332" s="43"/>
      <c r="BK332" s="43"/>
      <c r="BL332" s="43"/>
      <c r="BM332" s="43"/>
      <c r="BN332" s="43"/>
      <c r="BO332" s="43"/>
      <c r="BP332" s="43"/>
      <c r="BQ332" s="43"/>
      <c r="BR332" s="43"/>
      <c r="BS332" s="43"/>
      <c r="BT332" s="43"/>
      <c r="BU332" s="43"/>
      <c r="BV332" s="43"/>
      <c r="BW332" s="43"/>
      <c r="BX332" s="43"/>
      <c r="BY332" s="43"/>
      <c r="BZ332" s="43"/>
      <c r="CA332" s="43"/>
    </row>
    <row r="333" spans="1:85" customHeight="1" ht="13.5">
      <c r="A333" s="4"/>
      <c r="B333" s="17"/>
      <c r="C333" s="39"/>
      <c r="D333" s="39"/>
      <c r="E333" s="39"/>
      <c r="F333" s="39"/>
      <c r="G333" s="39"/>
      <c r="H333" s="39"/>
      <c r="I333" s="39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4"/>
      <c r="AR333" s="4"/>
      <c r="AS333" s="4"/>
    </row>
    <row r="334" spans="1:85" customHeight="1" ht="13.5">
      <c r="A334" s="4"/>
      <c r="B334" s="17"/>
      <c r="C334" s="17"/>
      <c r="D334" s="17"/>
      <c r="E334" s="17"/>
      <c r="F334" s="17"/>
      <c r="G334" s="13"/>
      <c r="H334" s="17"/>
      <c r="I334" s="17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4"/>
      <c r="AR334" s="4"/>
      <c r="AS334" s="4"/>
    </row>
    <row r="335" spans="1:85" customHeight="1" ht="13.5">
      <c r="A335" s="4"/>
      <c r="B335" s="70" t="s">
        <v>75</v>
      </c>
      <c r="C335" s="39"/>
      <c r="D335" s="39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4"/>
      <c r="AR335" s="4"/>
      <c r="AS335" s="4"/>
    </row>
    <row r="336" spans="1:85" customHeight="1" ht="13.5">
      <c r="A336" s="41"/>
      <c r="B336" s="79"/>
      <c r="C336" s="80"/>
      <c r="D336" s="80"/>
      <c r="E336" s="80"/>
      <c r="F336" s="80"/>
      <c r="G336" s="80"/>
      <c r="H336" s="81"/>
      <c r="I336" s="82"/>
      <c r="J336" s="83"/>
      <c r="K336" s="83"/>
      <c r="L336" s="83"/>
      <c r="M336" s="83"/>
      <c r="N336" s="83"/>
      <c r="O336" s="84"/>
      <c r="P336" s="82" t="s">
        <v>76</v>
      </c>
      <c r="Q336" s="83"/>
      <c r="R336" s="83"/>
      <c r="S336" s="83"/>
      <c r="T336" s="83"/>
      <c r="U336" s="83"/>
      <c r="V336" s="83"/>
      <c r="W336" s="84"/>
      <c r="X336" s="4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4"/>
      <c r="AR336" s="4"/>
      <c r="AS336" s="4"/>
    </row>
    <row r="337" spans="1:85" customHeight="1" ht="13.5">
      <c r="A337" s="41"/>
      <c r="B337" s="79" t="s">
        <v>77</v>
      </c>
      <c r="C337" s="80"/>
      <c r="D337" s="80"/>
      <c r="E337" s="80"/>
      <c r="F337" s="80"/>
      <c r="G337" s="80"/>
      <c r="H337" s="81"/>
      <c r="I337" s="82"/>
      <c r="J337" s="83"/>
      <c r="K337" s="83"/>
      <c r="L337" s="83"/>
      <c r="M337" s="83"/>
      <c r="N337" s="83"/>
      <c r="O337" s="84"/>
      <c r="P337" s="82"/>
      <c r="Q337" s="83"/>
      <c r="R337" s="83"/>
      <c r="S337" s="83"/>
      <c r="T337" s="83"/>
      <c r="U337" s="83"/>
      <c r="V337" s="83"/>
      <c r="W337" s="84"/>
      <c r="X337" s="4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4"/>
      <c r="AR337" s="4"/>
      <c r="AS337" s="4"/>
    </row>
    <row r="338" spans="1:85" customHeight="1" ht="13.5">
      <c r="A338" s="41"/>
      <c r="B338" s="85" t="s">
        <v>78</v>
      </c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7"/>
      <c r="P338" s="82" t="s">
        <v>76</v>
      </c>
      <c r="Q338" s="83"/>
      <c r="R338" s="83"/>
      <c r="S338" s="83"/>
      <c r="T338" s="83"/>
      <c r="U338" s="83"/>
      <c r="V338" s="83"/>
      <c r="W338" s="84"/>
      <c r="X338" s="4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4"/>
      <c r="AR338" s="4"/>
      <c r="AS338" s="4"/>
    </row>
    <row r="339" spans="1:85" customHeight="1" ht="13.5">
      <c r="A339" s="4"/>
      <c r="B339" s="73" t="s">
        <v>79</v>
      </c>
      <c r="C339" s="74"/>
      <c r="D339" s="74"/>
      <c r="E339" s="74"/>
      <c r="F339" s="74"/>
      <c r="G339" s="74"/>
      <c r="H339" s="75"/>
      <c r="I339" s="82"/>
      <c r="J339" s="83"/>
      <c r="K339" s="83"/>
      <c r="L339" s="83"/>
      <c r="M339" s="83"/>
      <c r="N339" s="83"/>
      <c r="O339" s="84"/>
      <c r="P339" s="82"/>
      <c r="Q339" s="83"/>
      <c r="R339" s="83"/>
      <c r="S339" s="83"/>
      <c r="T339" s="83"/>
      <c r="U339" s="83"/>
      <c r="V339" s="83"/>
      <c r="W339" s="84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4"/>
      <c r="AR339" s="4"/>
      <c r="AS339" s="4"/>
    </row>
    <row r="340" spans="1:85" customHeight="1" ht="13.5">
      <c r="A340" s="4"/>
      <c r="B340" s="63" t="s">
        <v>80</v>
      </c>
      <c r="C340" s="64"/>
      <c r="D340" s="64"/>
      <c r="E340" s="64"/>
      <c r="F340" s="64"/>
      <c r="G340" s="64"/>
      <c r="H340" s="65"/>
      <c r="I340" s="82"/>
      <c r="J340" s="83"/>
      <c r="K340" s="83"/>
      <c r="L340" s="83"/>
      <c r="M340" s="83"/>
      <c r="N340" s="83"/>
      <c r="O340" s="84"/>
      <c r="P340" s="82"/>
      <c r="Q340" s="83"/>
      <c r="R340" s="83"/>
      <c r="S340" s="83"/>
      <c r="T340" s="83"/>
      <c r="U340" s="83"/>
      <c r="V340" s="83"/>
      <c r="W340" s="84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4"/>
      <c r="AR340" s="4"/>
      <c r="AS340" s="4"/>
    </row>
    <row r="341" spans="1:85" customHeight="1" ht="13.5">
      <c r="A341" s="4"/>
      <c r="B341" s="63" t="s">
        <v>81</v>
      </c>
      <c r="C341" s="64"/>
      <c r="D341" s="64"/>
      <c r="E341" s="64"/>
      <c r="F341" s="64"/>
      <c r="G341" s="64"/>
      <c r="H341" s="65"/>
      <c r="I341" s="82"/>
      <c r="J341" s="83"/>
      <c r="K341" s="83"/>
      <c r="L341" s="83"/>
      <c r="M341" s="83"/>
      <c r="N341" s="83"/>
      <c r="O341" s="84"/>
      <c r="P341" s="82"/>
      <c r="Q341" s="83"/>
      <c r="R341" s="83"/>
      <c r="S341" s="83"/>
      <c r="T341" s="83"/>
      <c r="U341" s="83"/>
      <c r="V341" s="83"/>
      <c r="W341" s="84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4"/>
      <c r="AR341" s="4"/>
      <c r="AS341" s="4"/>
    </row>
    <row r="342" spans="1:85" customHeight="1" ht="13.5">
      <c r="A342" s="4"/>
      <c r="B342" s="63" t="s">
        <v>82</v>
      </c>
      <c r="C342" s="64"/>
      <c r="D342" s="64"/>
      <c r="E342" s="64"/>
      <c r="F342" s="64"/>
      <c r="G342" s="64"/>
      <c r="H342" s="65"/>
      <c r="I342" s="82"/>
      <c r="J342" s="83"/>
      <c r="K342" s="83"/>
      <c r="L342" s="83"/>
      <c r="M342" s="83"/>
      <c r="N342" s="83"/>
      <c r="O342" s="84"/>
      <c r="P342" s="82"/>
      <c r="Q342" s="83"/>
      <c r="R342" s="83"/>
      <c r="S342" s="83"/>
      <c r="T342" s="83"/>
      <c r="U342" s="83"/>
      <c r="V342" s="83"/>
      <c r="W342" s="84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4"/>
      <c r="AR342" s="4"/>
      <c r="AS342" s="4"/>
    </row>
    <row r="343" spans="1:85" customHeight="1" ht="13.5">
      <c r="A343" s="4"/>
      <c r="B343" s="63" t="s">
        <v>83</v>
      </c>
      <c r="C343" s="64"/>
      <c r="D343" s="64"/>
      <c r="E343" s="64"/>
      <c r="F343" s="64"/>
      <c r="G343" s="64"/>
      <c r="H343" s="65"/>
      <c r="I343" s="82"/>
      <c r="J343" s="83"/>
      <c r="K343" s="83"/>
      <c r="L343" s="83"/>
      <c r="M343" s="83"/>
      <c r="N343" s="83"/>
      <c r="O343" s="84"/>
      <c r="P343" s="82"/>
      <c r="Q343" s="83"/>
      <c r="R343" s="83"/>
      <c r="S343" s="83"/>
      <c r="T343" s="83"/>
      <c r="U343" s="83"/>
      <c r="V343" s="83"/>
      <c r="W343" s="84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4"/>
      <c r="AR343" s="4"/>
      <c r="AS343" s="4"/>
    </row>
    <row r="344" spans="1:85" customHeight="1" ht="13.5">
      <c r="A344" s="4"/>
      <c r="B344" s="63" t="s">
        <v>84</v>
      </c>
      <c r="C344" s="64"/>
      <c r="D344" s="64"/>
      <c r="E344" s="64"/>
      <c r="F344" s="64"/>
      <c r="G344" s="64"/>
      <c r="H344" s="65"/>
      <c r="I344" s="82"/>
      <c r="J344" s="83"/>
      <c r="K344" s="83"/>
      <c r="L344" s="83"/>
      <c r="M344" s="83"/>
      <c r="N344" s="83"/>
      <c r="O344" s="84"/>
      <c r="P344" s="82"/>
      <c r="Q344" s="83"/>
      <c r="R344" s="83"/>
      <c r="S344" s="83"/>
      <c r="T344" s="83"/>
      <c r="U344" s="83"/>
      <c r="V344" s="83"/>
      <c r="W344" s="84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4"/>
      <c r="AR344" s="4"/>
      <c r="AS344" s="4"/>
    </row>
    <row r="345" spans="1:85" customHeight="1" ht="13.5">
      <c r="A345" s="4"/>
      <c r="B345" s="66" t="s">
        <v>85</v>
      </c>
      <c r="C345" s="67"/>
      <c r="D345" s="67"/>
      <c r="E345" s="67"/>
      <c r="F345" s="67"/>
      <c r="G345" s="67"/>
      <c r="H345" s="68"/>
      <c r="I345" s="82"/>
      <c r="J345" s="83"/>
      <c r="K345" s="83"/>
      <c r="L345" s="83"/>
      <c r="M345" s="83"/>
      <c r="N345" s="83"/>
      <c r="O345" s="84"/>
      <c r="P345" s="82"/>
      <c r="Q345" s="83"/>
      <c r="R345" s="83"/>
      <c r="S345" s="83"/>
      <c r="T345" s="83"/>
      <c r="U345" s="83"/>
      <c r="V345" s="83"/>
      <c r="W345" s="84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4"/>
      <c r="AR345" s="4"/>
      <c r="AS345" s="4"/>
    </row>
    <row r="346" spans="1:85" customHeight="1" ht="13.5">
      <c r="A346" s="4"/>
      <c r="B346" s="63" t="s">
        <v>86</v>
      </c>
      <c r="C346" s="64"/>
      <c r="D346" s="64"/>
      <c r="E346" s="64"/>
      <c r="F346" s="64"/>
      <c r="G346" s="64"/>
      <c r="H346" s="65"/>
      <c r="I346" s="82"/>
      <c r="J346" s="83"/>
      <c r="K346" s="83"/>
      <c r="L346" s="83"/>
      <c r="M346" s="83"/>
      <c r="N346" s="83"/>
      <c r="O346" s="84"/>
      <c r="P346" s="82"/>
      <c r="Q346" s="83"/>
      <c r="R346" s="83"/>
      <c r="S346" s="83"/>
      <c r="T346" s="83"/>
      <c r="U346" s="83"/>
      <c r="V346" s="83"/>
      <c r="W346" s="84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4"/>
      <c r="AR346" s="4"/>
      <c r="AS346" s="4"/>
    </row>
    <row r="347" spans="1:85" customHeight="1" ht="13.5">
      <c r="A347" s="4"/>
      <c r="B347" s="39"/>
      <c r="C347" s="39"/>
      <c r="D347" s="39"/>
      <c r="E347" s="71"/>
      <c r="F347" s="71"/>
      <c r="G347" s="71"/>
      <c r="H347" s="71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4"/>
      <c r="AR347" s="4"/>
      <c r="AS347" s="4"/>
    </row>
    <row r="348" spans="1:85" customHeight="1" ht="13.5">
      <c r="A348" s="41"/>
      <c r="B348" s="76" t="s">
        <v>87</v>
      </c>
      <c r="C348" s="72"/>
      <c r="D348" s="72"/>
      <c r="E348" s="64"/>
      <c r="F348" s="64"/>
      <c r="G348" s="64"/>
      <c r="H348" s="64"/>
      <c r="I348" s="77"/>
      <c r="J348" s="42"/>
      <c r="K348" s="42"/>
      <c r="L348" s="42"/>
      <c r="M348" s="42"/>
      <c r="N348" s="42"/>
      <c r="O348" s="42"/>
      <c r="P348" s="57" t="s">
        <v>76</v>
      </c>
      <c r="Q348" s="58"/>
      <c r="R348" s="58"/>
      <c r="S348" s="58"/>
      <c r="T348" s="58"/>
      <c r="U348" s="58"/>
      <c r="V348" s="58"/>
      <c r="W348" s="59"/>
      <c r="X348" s="4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4"/>
      <c r="AR348" s="4"/>
      <c r="AS348" s="4"/>
    </row>
    <row r="349" spans="1:85" customHeight="1" ht="13.5">
      <c r="A349" s="4"/>
      <c r="B349" s="73" t="s">
        <v>88</v>
      </c>
      <c r="C349" s="74"/>
      <c r="D349" s="74"/>
      <c r="E349" s="74"/>
      <c r="F349" s="74"/>
      <c r="G349" s="74"/>
      <c r="H349" s="75"/>
      <c r="I349" s="82"/>
      <c r="J349" s="83"/>
      <c r="K349" s="83"/>
      <c r="L349" s="83"/>
      <c r="M349" s="83"/>
      <c r="N349" s="83"/>
      <c r="O349" s="84"/>
      <c r="P349" s="82"/>
      <c r="Q349" s="83"/>
      <c r="R349" s="83"/>
      <c r="S349" s="83"/>
      <c r="T349" s="83"/>
      <c r="U349" s="83"/>
      <c r="V349" s="83"/>
      <c r="W349" s="84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4"/>
      <c r="AR349" s="4"/>
      <c r="AS349" s="4"/>
    </row>
    <row r="350" spans="1:85" customHeight="1" ht="13.5">
      <c r="A350" s="4"/>
      <c r="B350" s="63" t="s">
        <v>89</v>
      </c>
      <c r="C350" s="64"/>
      <c r="D350" s="64"/>
      <c r="E350" s="64"/>
      <c r="F350" s="64"/>
      <c r="G350" s="64"/>
      <c r="H350" s="65"/>
      <c r="I350" s="82"/>
      <c r="J350" s="83"/>
      <c r="K350" s="83"/>
      <c r="L350" s="83"/>
      <c r="M350" s="83"/>
      <c r="N350" s="83"/>
      <c r="O350" s="84"/>
      <c r="P350" s="82"/>
      <c r="Q350" s="83"/>
      <c r="R350" s="83"/>
      <c r="S350" s="83"/>
      <c r="T350" s="83"/>
      <c r="U350" s="83"/>
      <c r="V350" s="83"/>
      <c r="W350" s="84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4"/>
      <c r="AR350" s="4"/>
      <c r="AS350" s="4"/>
    </row>
    <row r="351" spans="1:85" customHeight="1" ht="13.5">
      <c r="A351" s="4"/>
      <c r="B351" s="63" t="s">
        <v>90</v>
      </c>
      <c r="C351" s="64"/>
      <c r="D351" s="64"/>
      <c r="E351" s="64"/>
      <c r="F351" s="64"/>
      <c r="G351" s="64"/>
      <c r="H351" s="65"/>
      <c r="I351" s="82"/>
      <c r="J351" s="83"/>
      <c r="K351" s="83"/>
      <c r="L351" s="83"/>
      <c r="M351" s="83"/>
      <c r="N351" s="83"/>
      <c r="O351" s="84"/>
      <c r="P351" s="82"/>
      <c r="Q351" s="83"/>
      <c r="R351" s="83"/>
      <c r="S351" s="83"/>
      <c r="T351" s="83"/>
      <c r="U351" s="83"/>
      <c r="V351" s="83"/>
      <c r="W351" s="84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4"/>
      <c r="AR351" s="4"/>
      <c r="AS351" s="4"/>
    </row>
    <row r="352" spans="1:85" customHeight="1" ht="13.5">
      <c r="A352" s="4"/>
      <c r="B352" s="63" t="s">
        <v>91</v>
      </c>
      <c r="C352" s="64"/>
      <c r="D352" s="64"/>
      <c r="E352" s="64"/>
      <c r="F352" s="64"/>
      <c r="G352" s="64"/>
      <c r="H352" s="65"/>
      <c r="I352" s="82"/>
      <c r="J352" s="83"/>
      <c r="K352" s="83"/>
      <c r="L352" s="83"/>
      <c r="M352" s="83"/>
      <c r="N352" s="83"/>
      <c r="O352" s="84"/>
      <c r="P352" s="82"/>
      <c r="Q352" s="83"/>
      <c r="R352" s="83"/>
      <c r="S352" s="83"/>
      <c r="T352" s="83"/>
      <c r="U352" s="83"/>
      <c r="V352" s="83"/>
      <c r="W352" s="84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4"/>
      <c r="AR352" s="4"/>
      <c r="AS352" s="4"/>
    </row>
    <row r="353" spans="1:85" customHeight="1" ht="13.5">
      <c r="A353" s="4"/>
      <c r="B353" s="17"/>
      <c r="C353" s="17"/>
      <c r="D353" s="17"/>
      <c r="E353" s="17"/>
      <c r="F353" s="17"/>
      <c r="G353" s="17"/>
      <c r="H353" s="17"/>
      <c r="I353" s="17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4"/>
      <c r="AR353" s="4"/>
      <c r="AS353" s="4"/>
    </row>
    <row r="354" spans="1:85" customHeight="1" ht="13.5">
      <c r="A354" s="4"/>
      <c r="B354" s="13" t="s">
        <v>92</v>
      </c>
      <c r="D354" s="1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Q354" s="4"/>
      <c r="AR354" s="4"/>
      <c r="AS354" s="4"/>
    </row>
    <row r="355" spans="1:85" customHeight="1" ht="27.75">
      <c r="A355" s="4"/>
      <c r="B355" s="198" t="s">
        <v>93</v>
      </c>
      <c r="C355" s="199"/>
      <c r="D355" s="199"/>
      <c r="E355" s="199"/>
      <c r="F355" s="199"/>
      <c r="G355" s="199"/>
      <c r="H355" s="199"/>
      <c r="I355" s="199"/>
      <c r="J355" s="199"/>
      <c r="K355" s="200"/>
      <c r="L355" s="201" t="s">
        <v>94</v>
      </c>
      <c r="M355" s="202"/>
      <c r="N355" s="202"/>
      <c r="O355" s="202"/>
      <c r="P355" s="202"/>
      <c r="Q355" s="202"/>
      <c r="R355" s="202"/>
      <c r="S355" s="203"/>
      <c r="T355" s="201" t="s">
        <v>95</v>
      </c>
      <c r="U355" s="202"/>
      <c r="V355" s="202"/>
      <c r="W355" s="202"/>
      <c r="X355" s="202"/>
      <c r="Y355" s="202"/>
      <c r="Z355" s="202"/>
      <c r="AA355" s="203"/>
      <c r="AB355" s="201" t="s">
        <v>96</v>
      </c>
      <c r="AC355" s="202"/>
      <c r="AD355" s="202"/>
      <c r="AE355" s="202"/>
      <c r="AF355" s="202"/>
      <c r="AG355" s="202"/>
      <c r="AH355" s="202"/>
      <c r="AI355" s="202"/>
      <c r="AJ355" s="202"/>
      <c r="AK355" s="202"/>
      <c r="AL355" s="203"/>
      <c r="AQ355" s="4"/>
      <c r="AR355" s="4"/>
      <c r="AS355" s="4"/>
    </row>
    <row r="356" spans="1:85" customHeight="1" ht="13.5">
      <c r="A356" s="4"/>
      <c r="B356" s="85"/>
      <c r="C356" s="86"/>
      <c r="D356" s="86"/>
      <c r="E356" s="86"/>
      <c r="F356" s="86"/>
      <c r="G356" s="86"/>
      <c r="H356" s="86"/>
      <c r="I356" s="86"/>
      <c r="J356" s="86"/>
      <c r="K356" s="87"/>
      <c r="L356" s="82"/>
      <c r="M356" s="83"/>
      <c r="N356" s="83"/>
      <c r="O356" s="83"/>
      <c r="P356" s="83"/>
      <c r="Q356" s="83"/>
      <c r="R356" s="83"/>
      <c r="S356" s="84"/>
      <c r="T356" s="82"/>
      <c r="U356" s="83"/>
      <c r="V356" s="83"/>
      <c r="W356" s="83"/>
      <c r="X356" s="83"/>
      <c r="Y356" s="83"/>
      <c r="Z356" s="83"/>
      <c r="AA356" s="84"/>
      <c r="AB356" s="82"/>
      <c r="AC356" s="83"/>
      <c r="AD356" s="83"/>
      <c r="AE356" s="83"/>
      <c r="AF356" s="83"/>
      <c r="AG356" s="83"/>
      <c r="AH356" s="83"/>
      <c r="AI356" s="83"/>
      <c r="AJ356" s="83"/>
      <c r="AK356" s="83"/>
      <c r="AL356" s="84"/>
      <c r="AQ356" s="4"/>
      <c r="AR356" s="4"/>
      <c r="AS356" s="4"/>
    </row>
    <row r="357" spans="1:85" customHeight="1" ht="13.5">
      <c r="A357" s="4"/>
      <c r="B357" s="85"/>
      <c r="C357" s="86"/>
      <c r="D357" s="86"/>
      <c r="E357" s="86"/>
      <c r="F357" s="86"/>
      <c r="G357" s="86"/>
      <c r="H357" s="86"/>
      <c r="I357" s="86"/>
      <c r="J357" s="86"/>
      <c r="K357" s="87"/>
      <c r="L357" s="82"/>
      <c r="M357" s="83"/>
      <c r="N357" s="83"/>
      <c r="O357" s="83"/>
      <c r="P357" s="83"/>
      <c r="Q357" s="83"/>
      <c r="R357" s="83"/>
      <c r="S357" s="84"/>
      <c r="T357" s="82"/>
      <c r="U357" s="83"/>
      <c r="V357" s="83"/>
      <c r="W357" s="83"/>
      <c r="X357" s="83"/>
      <c r="Y357" s="83"/>
      <c r="Z357" s="83"/>
      <c r="AA357" s="84"/>
      <c r="AB357" s="82"/>
      <c r="AC357" s="83"/>
      <c r="AD357" s="83"/>
      <c r="AE357" s="83"/>
      <c r="AF357" s="83"/>
      <c r="AG357" s="83"/>
      <c r="AH357" s="83"/>
      <c r="AI357" s="83"/>
      <c r="AJ357" s="83"/>
      <c r="AK357" s="83"/>
      <c r="AL357" s="84"/>
      <c r="AQ357" s="4"/>
      <c r="AR357" s="4"/>
      <c r="AS357" s="4"/>
    </row>
    <row r="358" spans="1:85" customHeight="1" ht="13.5">
      <c r="A358" s="4"/>
      <c r="B358" s="85"/>
      <c r="C358" s="86"/>
      <c r="D358" s="86"/>
      <c r="E358" s="86"/>
      <c r="F358" s="86"/>
      <c r="G358" s="86"/>
      <c r="H358" s="86"/>
      <c r="I358" s="86"/>
      <c r="J358" s="86"/>
      <c r="K358" s="87"/>
      <c r="L358" s="82"/>
      <c r="M358" s="83"/>
      <c r="N358" s="83"/>
      <c r="O358" s="83"/>
      <c r="P358" s="83"/>
      <c r="Q358" s="83"/>
      <c r="R358" s="83"/>
      <c r="S358" s="84"/>
      <c r="T358" s="82"/>
      <c r="U358" s="83"/>
      <c r="V358" s="83"/>
      <c r="W358" s="83"/>
      <c r="X358" s="83"/>
      <c r="Y358" s="83"/>
      <c r="Z358" s="83"/>
      <c r="AA358" s="84"/>
      <c r="AB358" s="82"/>
      <c r="AC358" s="83"/>
      <c r="AD358" s="83"/>
      <c r="AE358" s="83"/>
      <c r="AF358" s="83"/>
      <c r="AG358" s="83"/>
      <c r="AH358" s="83"/>
      <c r="AI358" s="83"/>
      <c r="AJ358" s="83"/>
      <c r="AK358" s="83"/>
      <c r="AL358" s="84"/>
      <c r="AQ358" s="4"/>
      <c r="AR358" s="4"/>
      <c r="AS358" s="4"/>
    </row>
    <row r="359" spans="1:85" customHeight="1" ht="13.5">
      <c r="A359" s="4"/>
      <c r="B359" s="85" t="s">
        <v>97</v>
      </c>
      <c r="C359" s="86"/>
      <c r="D359" s="86"/>
      <c r="E359" s="86"/>
      <c r="F359" s="86"/>
      <c r="G359" s="86"/>
      <c r="H359" s="86"/>
      <c r="I359" s="86"/>
      <c r="J359" s="86"/>
      <c r="K359" s="87"/>
      <c r="L359" s="82"/>
      <c r="M359" s="83"/>
      <c r="N359" s="83"/>
      <c r="O359" s="83"/>
      <c r="P359" s="83"/>
      <c r="Q359" s="83"/>
      <c r="R359" s="83"/>
      <c r="S359" s="84"/>
      <c r="T359" s="82"/>
      <c r="U359" s="83"/>
      <c r="V359" s="83"/>
      <c r="W359" s="83"/>
      <c r="X359" s="83"/>
      <c r="Y359" s="83"/>
      <c r="Z359" s="83"/>
      <c r="AA359" s="84"/>
      <c r="AB359" s="82"/>
      <c r="AC359" s="83"/>
      <c r="AD359" s="83"/>
      <c r="AE359" s="83"/>
      <c r="AF359" s="83"/>
      <c r="AG359" s="83"/>
      <c r="AH359" s="83"/>
      <c r="AI359" s="83"/>
      <c r="AJ359" s="83"/>
      <c r="AK359" s="83"/>
      <c r="AL359" s="84"/>
      <c r="AQ359" s="4"/>
      <c r="AR359" s="4"/>
      <c r="AS359" s="4"/>
    </row>
    <row r="360" spans="1:85" customHeight="1" ht="13.5">
      <c r="A360" s="4"/>
      <c r="B360" s="16"/>
      <c r="C360" s="16"/>
      <c r="D360" s="16"/>
      <c r="E360" s="16"/>
      <c r="F360" s="16"/>
      <c r="G360" s="16"/>
      <c r="H360" s="16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</row>
    <row r="361" spans="1:85" customHeight="1" ht="13.5">
      <c r="B361" s="20" t="s">
        <v>98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</row>
    <row r="362" spans="1:85" customHeight="1" ht="19.5">
      <c r="B362" s="4"/>
      <c r="C362" s="4"/>
      <c r="D362" s="4"/>
      <c r="E362" s="4"/>
      <c r="F362" s="4"/>
      <c r="G362" s="4" t="s">
        <v>99</v>
      </c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</row>
    <row r="363" spans="1:85" customHeight="1" ht="13.5">
      <c r="B363" s="139" t="s">
        <v>100</v>
      </c>
      <c r="C363" s="157"/>
      <c r="D363" s="157"/>
      <c r="E363" s="157"/>
      <c r="F363" s="157"/>
      <c r="G363" s="157"/>
      <c r="H363" s="157"/>
      <c r="I363" s="157"/>
      <c r="J363" s="157"/>
      <c r="K363" s="157"/>
      <c r="L363" s="157"/>
      <c r="M363" s="157"/>
      <c r="N363" s="157"/>
      <c r="O363" s="157"/>
      <c r="P363" s="157"/>
      <c r="Q363" s="154"/>
      <c r="R363" s="139" t="s">
        <v>101</v>
      </c>
      <c r="S363" s="157"/>
      <c r="T363" s="157"/>
      <c r="U363" s="157"/>
      <c r="V363" s="157"/>
      <c r="W363" s="157"/>
      <c r="X363" s="157"/>
      <c r="Y363" s="157"/>
      <c r="Z363" s="157"/>
      <c r="AA363" s="157"/>
      <c r="AB363" s="157"/>
      <c r="AC363" s="154"/>
      <c r="AD363" s="139" t="s">
        <v>102</v>
      </c>
      <c r="AE363" s="157"/>
      <c r="AF363" s="157"/>
      <c r="AG363" s="157"/>
      <c r="AH363" s="157"/>
      <c r="AI363" s="157"/>
      <c r="AJ363" s="157"/>
      <c r="AK363" s="157"/>
      <c r="AL363" s="157"/>
      <c r="AM363" s="157"/>
      <c r="AN363" s="157"/>
      <c r="AO363" s="157"/>
      <c r="AP363" s="157"/>
      <c r="AQ363" s="157"/>
      <c r="AR363" s="154"/>
      <c r="AS363" s="21"/>
    </row>
    <row r="364" spans="1:85" customHeight="1" ht="13.5">
      <c r="B364" s="62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1"/>
      <c r="R364" s="62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1"/>
      <c r="AD364" s="62"/>
      <c r="AE364" s="60"/>
      <c r="AF364" s="60"/>
      <c r="AG364" s="60"/>
      <c r="AH364" s="60"/>
      <c r="AI364" s="60"/>
      <c r="AJ364" s="60"/>
      <c r="AK364" s="60"/>
      <c r="AL364" s="60"/>
      <c r="AM364" s="60"/>
      <c r="AN364" s="60"/>
      <c r="AO364" s="60"/>
      <c r="AP364" s="60"/>
      <c r="AQ364" s="60"/>
      <c r="AR364" s="61"/>
      <c r="AS364" s="21"/>
    </row>
    <row r="365" spans="1:85" customHeight="1" ht="19.5">
      <c r="B365" s="82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4"/>
      <c r="R365" s="82"/>
      <c r="S365" s="83"/>
      <c r="T365" s="83"/>
      <c r="U365" s="83"/>
      <c r="V365" s="83"/>
      <c r="W365" s="83"/>
      <c r="X365" s="83"/>
      <c r="Y365" s="83"/>
      <c r="Z365" s="83"/>
      <c r="AA365" s="83"/>
      <c r="AB365" s="83"/>
      <c r="AC365" s="84"/>
      <c r="AD365" s="82"/>
      <c r="AE365" s="83"/>
      <c r="AF365" s="83"/>
      <c r="AG365" s="83"/>
      <c r="AH365" s="83"/>
      <c r="AI365" s="83"/>
      <c r="AJ365" s="83"/>
      <c r="AK365" s="83"/>
      <c r="AL365" s="83"/>
      <c r="AM365" s="83"/>
      <c r="AN365" s="83"/>
      <c r="AO365" s="83"/>
      <c r="AP365" s="83"/>
      <c r="AQ365" s="83"/>
      <c r="AR365" s="84"/>
      <c r="AS365" s="18"/>
    </row>
    <row r="366" spans="1:85" customHeight="1" ht="19.5">
      <c r="B366" s="82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4"/>
      <c r="R366" s="82"/>
      <c r="S366" s="83"/>
      <c r="T366" s="83"/>
      <c r="U366" s="83"/>
      <c r="V366" s="83"/>
      <c r="W366" s="83"/>
      <c r="X366" s="83"/>
      <c r="Y366" s="83"/>
      <c r="Z366" s="83"/>
      <c r="AA366" s="83"/>
      <c r="AB366" s="83"/>
      <c r="AC366" s="84"/>
      <c r="AD366" s="82"/>
      <c r="AE366" s="83"/>
      <c r="AF366" s="83"/>
      <c r="AG366" s="83"/>
      <c r="AH366" s="83"/>
      <c r="AI366" s="83"/>
      <c r="AJ366" s="83"/>
      <c r="AK366" s="83"/>
      <c r="AL366" s="83"/>
      <c r="AM366" s="83"/>
      <c r="AN366" s="83"/>
      <c r="AO366" s="83"/>
      <c r="AP366" s="83"/>
      <c r="AQ366" s="83"/>
      <c r="AR366" s="84"/>
      <c r="AS366" s="18"/>
    </row>
    <row r="367" spans="1:85" customHeight="1" ht="19.5">
      <c r="B367" s="82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4"/>
      <c r="R367" s="82"/>
      <c r="S367" s="83"/>
      <c r="T367" s="83"/>
      <c r="U367" s="83"/>
      <c r="V367" s="83"/>
      <c r="W367" s="83"/>
      <c r="X367" s="83"/>
      <c r="Y367" s="83"/>
      <c r="Z367" s="83"/>
      <c r="AA367" s="83"/>
      <c r="AB367" s="83"/>
      <c r="AC367" s="84"/>
      <c r="AD367" s="82"/>
      <c r="AE367" s="83"/>
      <c r="AF367" s="83"/>
      <c r="AG367" s="83"/>
      <c r="AH367" s="83"/>
      <c r="AI367" s="83"/>
      <c r="AJ367" s="83"/>
      <c r="AK367" s="83"/>
      <c r="AL367" s="83"/>
      <c r="AM367" s="83"/>
      <c r="AN367" s="83"/>
      <c r="AO367" s="83"/>
      <c r="AP367" s="83"/>
      <c r="AQ367" s="83"/>
      <c r="AR367" s="84"/>
      <c r="AS367" s="18"/>
    </row>
    <row r="368" spans="1:85" customHeight="1" ht="19.5">
      <c r="B368" s="82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4"/>
      <c r="R368" s="82"/>
      <c r="S368" s="83"/>
      <c r="T368" s="83"/>
      <c r="U368" s="83"/>
      <c r="V368" s="83"/>
      <c r="W368" s="83"/>
      <c r="X368" s="83"/>
      <c r="Y368" s="83"/>
      <c r="Z368" s="83"/>
      <c r="AA368" s="83"/>
      <c r="AB368" s="83"/>
      <c r="AC368" s="84"/>
      <c r="AD368" s="82"/>
      <c r="AE368" s="83"/>
      <c r="AF368" s="83"/>
      <c r="AG368" s="83"/>
      <c r="AH368" s="83"/>
      <c r="AI368" s="83"/>
      <c r="AJ368" s="83"/>
      <c r="AK368" s="83"/>
      <c r="AL368" s="83"/>
      <c r="AM368" s="83"/>
      <c r="AN368" s="83"/>
      <c r="AO368" s="83"/>
      <c r="AP368" s="83"/>
      <c r="AQ368" s="83"/>
      <c r="AR368" s="84"/>
      <c r="AS368" s="18"/>
    </row>
    <row r="369" spans="1:85" customHeight="1" ht="19.5">
      <c r="B369" s="82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4"/>
      <c r="R369" s="82"/>
      <c r="S369" s="83"/>
      <c r="T369" s="83"/>
      <c r="U369" s="83"/>
      <c r="V369" s="83"/>
      <c r="W369" s="83"/>
      <c r="X369" s="83"/>
      <c r="Y369" s="83"/>
      <c r="Z369" s="83"/>
      <c r="AA369" s="83"/>
      <c r="AB369" s="83"/>
      <c r="AC369" s="84"/>
      <c r="AD369" s="82"/>
      <c r="AE369" s="83"/>
      <c r="AF369" s="83"/>
      <c r="AG369" s="83"/>
      <c r="AH369" s="83"/>
      <c r="AI369" s="83"/>
      <c r="AJ369" s="83"/>
      <c r="AK369" s="83"/>
      <c r="AL369" s="83"/>
      <c r="AM369" s="83"/>
      <c r="AN369" s="83"/>
      <c r="AO369" s="83"/>
      <c r="AP369" s="83"/>
      <c r="AQ369" s="83"/>
      <c r="AR369" s="84"/>
      <c r="AS369" s="18"/>
    </row>
    <row r="370" spans="1:85" customHeight="1" ht="19.5">
      <c r="B370" s="82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4"/>
      <c r="R370" s="82"/>
      <c r="S370" s="83"/>
      <c r="T370" s="83"/>
      <c r="U370" s="83"/>
      <c r="V370" s="83"/>
      <c r="W370" s="83"/>
      <c r="X370" s="83"/>
      <c r="Y370" s="83"/>
      <c r="Z370" s="83"/>
      <c r="AA370" s="83"/>
      <c r="AB370" s="83"/>
      <c r="AC370" s="84"/>
      <c r="AD370" s="82"/>
      <c r="AE370" s="83"/>
      <c r="AF370" s="83"/>
      <c r="AG370" s="83"/>
      <c r="AH370" s="83"/>
      <c r="AI370" s="83"/>
      <c r="AJ370" s="83"/>
      <c r="AK370" s="83"/>
      <c r="AL370" s="83"/>
      <c r="AM370" s="83"/>
      <c r="AN370" s="83"/>
      <c r="AO370" s="83"/>
      <c r="AP370" s="83"/>
      <c r="AQ370" s="83"/>
      <c r="AR370" s="84"/>
      <c r="AS370" s="18"/>
    </row>
    <row r="371" spans="1:85" customHeight="1" ht="13.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</row>
    <row r="372" spans="1:85" customHeight="1" ht="13.5">
      <c r="A372" s="20" t="s">
        <v>103</v>
      </c>
      <c r="B372" s="22"/>
      <c r="C372" s="22"/>
      <c r="D372" s="22"/>
      <c r="E372" s="22"/>
      <c r="F372" s="177" t="s">
        <v>104</v>
      </c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  <c r="AA372" s="105"/>
      <c r="AB372" s="105"/>
      <c r="AC372" s="105"/>
      <c r="AD372" s="105"/>
      <c r="AE372" s="105"/>
      <c r="AF372" s="105"/>
      <c r="AG372" s="105"/>
      <c r="AH372" s="105"/>
      <c r="AI372" s="105"/>
      <c r="AJ372" s="105"/>
      <c r="AK372" s="105"/>
      <c r="AL372" s="105"/>
      <c r="AM372" s="105"/>
      <c r="AN372" s="105"/>
      <c r="AO372" s="105"/>
      <c r="AP372" s="105"/>
      <c r="AQ372" s="105"/>
      <c r="AR372" s="22"/>
      <c r="AS372" s="22"/>
    </row>
    <row r="373" spans="1:85" customHeight="1" ht="13.5">
      <c r="A373" s="4"/>
      <c r="B373" s="22"/>
      <c r="C373" s="22"/>
      <c r="D373" s="22"/>
      <c r="E373" s="22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  <c r="AA373" s="105"/>
      <c r="AB373" s="105"/>
      <c r="AC373" s="105"/>
      <c r="AD373" s="105"/>
      <c r="AE373" s="105"/>
      <c r="AF373" s="105"/>
      <c r="AG373" s="105"/>
      <c r="AH373" s="105"/>
      <c r="AI373" s="105"/>
      <c r="AJ373" s="105"/>
      <c r="AK373" s="105"/>
      <c r="AL373" s="105"/>
      <c r="AM373" s="105"/>
      <c r="AN373" s="105"/>
      <c r="AO373" s="105"/>
      <c r="AP373" s="105"/>
      <c r="AQ373" s="105"/>
      <c r="AR373" s="22"/>
      <c r="AS373" s="22"/>
    </row>
    <row r="374" spans="1:85" customHeight="1" ht="19.5">
      <c r="A374" s="4"/>
      <c r="B374" s="4"/>
      <c r="C374" s="4"/>
      <c r="D374" s="4"/>
      <c r="E374" s="4"/>
      <c r="F374" s="4" t="s">
        <v>99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</row>
    <row r="375" spans="1:85" customHeight="1" ht="27">
      <c r="A375" s="178" t="s">
        <v>105</v>
      </c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95"/>
      <c r="M375" s="96"/>
      <c r="N375" s="178" t="s">
        <v>106</v>
      </c>
      <c r="O375" s="95"/>
      <c r="P375" s="95"/>
      <c r="Q375" s="95"/>
      <c r="R375" s="95"/>
      <c r="S375" s="95"/>
      <c r="T375" s="95"/>
      <c r="U375" s="95"/>
      <c r="V375" s="96"/>
      <c r="W375" s="178" t="s">
        <v>107</v>
      </c>
      <c r="X375" s="95"/>
      <c r="Y375" s="95"/>
      <c r="Z375" s="96"/>
      <c r="AA375" s="179" t="s">
        <v>108</v>
      </c>
      <c r="AB375" s="95"/>
      <c r="AC375" s="95"/>
      <c r="AD375" s="95"/>
      <c r="AE375" s="95"/>
      <c r="AF375" s="95"/>
      <c r="AG375" s="95"/>
      <c r="AH375" s="95"/>
      <c r="AI375" s="95"/>
      <c r="AJ375" s="95"/>
      <c r="AK375" s="95"/>
      <c r="AL375" s="95"/>
      <c r="AM375" s="95"/>
      <c r="AN375" s="95"/>
      <c r="AO375" s="95"/>
      <c r="AP375" s="95"/>
      <c r="AQ375" s="96"/>
      <c r="AR375" s="23"/>
      <c r="AS375" s="23"/>
    </row>
    <row r="376" spans="1:85" customHeight="1" ht="19.5">
      <c r="A376" s="176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95"/>
      <c r="M376" s="96"/>
      <c r="N376" s="176"/>
      <c r="O376" s="95"/>
      <c r="P376" s="95"/>
      <c r="Q376" s="95"/>
      <c r="R376" s="95"/>
      <c r="S376" s="95"/>
      <c r="T376" s="95"/>
      <c r="U376" s="95"/>
      <c r="V376" s="96"/>
      <c r="W376" s="176"/>
      <c r="X376" s="95"/>
      <c r="Y376" s="95"/>
      <c r="Z376" s="96"/>
      <c r="AA376" s="176"/>
      <c r="AB376" s="95"/>
      <c r="AC376" s="95"/>
      <c r="AD376" s="95"/>
      <c r="AE376" s="95"/>
      <c r="AF376" s="95"/>
      <c r="AG376" s="95"/>
      <c r="AH376" s="95"/>
      <c r="AI376" s="95"/>
      <c r="AJ376" s="95"/>
      <c r="AK376" s="95"/>
      <c r="AL376" s="95"/>
      <c r="AM376" s="95"/>
      <c r="AN376" s="95"/>
      <c r="AO376" s="95"/>
      <c r="AP376" s="95"/>
      <c r="AQ376" s="96"/>
      <c r="AR376" s="4"/>
      <c r="AS376" s="4"/>
    </row>
    <row r="377" spans="1:85" customHeight="1" ht="19.5">
      <c r="A377" s="176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95"/>
      <c r="M377" s="96"/>
      <c r="N377" s="176"/>
      <c r="O377" s="95"/>
      <c r="P377" s="95"/>
      <c r="Q377" s="95"/>
      <c r="R377" s="95"/>
      <c r="S377" s="95"/>
      <c r="T377" s="95"/>
      <c r="U377" s="95"/>
      <c r="V377" s="96"/>
      <c r="W377" s="176"/>
      <c r="X377" s="95"/>
      <c r="Y377" s="95"/>
      <c r="Z377" s="96"/>
      <c r="AA377" s="176"/>
      <c r="AB377" s="95"/>
      <c r="AC377" s="95"/>
      <c r="AD377" s="95"/>
      <c r="AE377" s="95"/>
      <c r="AF377" s="95"/>
      <c r="AG377" s="95"/>
      <c r="AH377" s="95"/>
      <c r="AI377" s="95"/>
      <c r="AJ377" s="95"/>
      <c r="AK377" s="95"/>
      <c r="AL377" s="95"/>
      <c r="AM377" s="95"/>
      <c r="AN377" s="95"/>
      <c r="AO377" s="95"/>
      <c r="AP377" s="95"/>
      <c r="AQ377" s="96"/>
      <c r="AR377" s="4"/>
      <c r="AS377" s="4"/>
    </row>
    <row r="378" spans="1:85" customHeight="1" ht="19.5">
      <c r="A378" s="176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95"/>
      <c r="M378" s="96"/>
      <c r="N378" s="176"/>
      <c r="O378" s="95"/>
      <c r="P378" s="95"/>
      <c r="Q378" s="95"/>
      <c r="R378" s="95"/>
      <c r="S378" s="95"/>
      <c r="T378" s="95"/>
      <c r="U378" s="95"/>
      <c r="V378" s="96"/>
      <c r="W378" s="176"/>
      <c r="X378" s="95"/>
      <c r="Y378" s="95"/>
      <c r="Z378" s="96"/>
      <c r="AA378" s="176"/>
      <c r="AB378" s="95"/>
      <c r="AC378" s="95"/>
      <c r="AD378" s="95"/>
      <c r="AE378" s="95"/>
      <c r="AF378" s="95"/>
      <c r="AG378" s="95"/>
      <c r="AH378" s="95"/>
      <c r="AI378" s="95"/>
      <c r="AJ378" s="95"/>
      <c r="AK378" s="95"/>
      <c r="AL378" s="95"/>
      <c r="AM378" s="95"/>
      <c r="AN378" s="95"/>
      <c r="AO378" s="95"/>
      <c r="AP378" s="95"/>
      <c r="AQ378" s="96"/>
      <c r="AR378" s="4"/>
      <c r="AS378" s="4"/>
    </row>
    <row r="379" spans="1:85" customHeight="1" ht="19.5">
      <c r="A379" s="176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95"/>
      <c r="M379" s="96"/>
      <c r="N379" s="176"/>
      <c r="O379" s="95"/>
      <c r="P379" s="95"/>
      <c r="Q379" s="95"/>
      <c r="R379" s="95"/>
      <c r="S379" s="95"/>
      <c r="T379" s="95"/>
      <c r="U379" s="95"/>
      <c r="V379" s="96"/>
      <c r="W379" s="176"/>
      <c r="X379" s="95"/>
      <c r="Y379" s="95"/>
      <c r="Z379" s="96"/>
      <c r="AA379" s="176"/>
      <c r="AB379" s="95"/>
      <c r="AC379" s="95"/>
      <c r="AD379" s="95"/>
      <c r="AE379" s="95"/>
      <c r="AF379" s="95"/>
      <c r="AG379" s="95"/>
      <c r="AH379" s="95"/>
      <c r="AI379" s="95"/>
      <c r="AJ379" s="95"/>
      <c r="AK379" s="95"/>
      <c r="AL379" s="95"/>
      <c r="AM379" s="95"/>
      <c r="AN379" s="95"/>
      <c r="AO379" s="95"/>
      <c r="AP379" s="95"/>
      <c r="AQ379" s="96"/>
      <c r="AR379" s="4"/>
      <c r="AS379" s="4"/>
    </row>
    <row r="380" spans="1:85" customHeight="1" ht="19.5">
      <c r="A380" s="176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95"/>
      <c r="M380" s="96"/>
      <c r="N380" s="176"/>
      <c r="O380" s="95"/>
      <c r="P380" s="95"/>
      <c r="Q380" s="95"/>
      <c r="R380" s="95"/>
      <c r="S380" s="95"/>
      <c r="T380" s="95"/>
      <c r="U380" s="95"/>
      <c r="V380" s="96"/>
      <c r="W380" s="176"/>
      <c r="X380" s="95"/>
      <c r="Y380" s="95"/>
      <c r="Z380" s="96"/>
      <c r="AA380" s="176"/>
      <c r="AB380" s="95"/>
      <c r="AC380" s="95"/>
      <c r="AD380" s="95"/>
      <c r="AE380" s="95"/>
      <c r="AF380" s="95"/>
      <c r="AG380" s="95"/>
      <c r="AH380" s="95"/>
      <c r="AI380" s="95"/>
      <c r="AJ380" s="95"/>
      <c r="AK380" s="95"/>
      <c r="AL380" s="95"/>
      <c r="AM380" s="95"/>
      <c r="AN380" s="95"/>
      <c r="AO380" s="95"/>
      <c r="AP380" s="95"/>
      <c r="AQ380" s="96"/>
      <c r="AR380" s="4"/>
      <c r="AS380" s="4"/>
    </row>
    <row r="381" spans="1:85" customHeight="1" ht="13.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</row>
    <row r="382" spans="1:85" customHeight="1" ht="45">
      <c r="A382" s="187" t="s">
        <v>109</v>
      </c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6"/>
      <c r="W382" s="186" t="s">
        <v>110</v>
      </c>
      <c r="X382" s="95"/>
      <c r="Y382" s="95"/>
      <c r="Z382" s="95"/>
      <c r="AA382" s="95"/>
      <c r="AB382" s="95"/>
      <c r="AC382" s="95"/>
      <c r="AD382" s="95"/>
      <c r="AE382" s="95"/>
      <c r="AF382" s="95"/>
      <c r="AG382" s="95"/>
      <c r="AH382" s="95"/>
      <c r="AI382" s="95"/>
      <c r="AJ382" s="95"/>
      <c r="AK382" s="95"/>
      <c r="AL382" s="95"/>
      <c r="AM382" s="95"/>
      <c r="AN382" s="95"/>
      <c r="AO382" s="95"/>
      <c r="AP382" s="95"/>
      <c r="AQ382" s="96"/>
      <c r="AR382" s="24"/>
      <c r="AS382" s="24"/>
    </row>
    <row r="383" spans="1:85" customHeight="1" ht="30">
      <c r="A383" s="82"/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6"/>
      <c r="W383" s="82"/>
      <c r="X383" s="95"/>
      <c r="Y383" s="95"/>
      <c r="Z383" s="95"/>
      <c r="AA383" s="95"/>
      <c r="AB383" s="95"/>
      <c r="AC383" s="95"/>
      <c r="AD383" s="95"/>
      <c r="AE383" s="95"/>
      <c r="AF383" s="95"/>
      <c r="AG383" s="95"/>
      <c r="AH383" s="95"/>
      <c r="AI383" s="95"/>
      <c r="AJ383" s="95"/>
      <c r="AK383" s="95"/>
      <c r="AL383" s="95"/>
      <c r="AM383" s="95"/>
      <c r="AN383" s="95"/>
      <c r="AO383" s="95"/>
      <c r="AP383" s="95"/>
      <c r="AQ383" s="96"/>
      <c r="AR383" s="18"/>
      <c r="AS383" s="18"/>
    </row>
    <row r="384" spans="1:85" customHeight="1" ht="13.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</row>
    <row r="385" spans="1:85" customHeight="1" ht="19.5">
      <c r="A385" s="185" t="s">
        <v>111</v>
      </c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  <c r="AE385" s="95"/>
      <c r="AF385" s="95"/>
      <c r="AG385" s="95"/>
      <c r="AH385" s="95"/>
      <c r="AI385" s="95"/>
      <c r="AJ385" s="95"/>
      <c r="AK385" s="95"/>
      <c r="AL385" s="95"/>
      <c r="AM385" s="95"/>
      <c r="AN385" s="95"/>
      <c r="AO385" s="95"/>
      <c r="AP385" s="95"/>
      <c r="AQ385" s="96"/>
      <c r="AR385" s="20"/>
      <c r="AS385" s="20"/>
    </row>
    <row r="386" spans="1:85" customHeight="1" ht="30">
      <c r="A386" s="176"/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  <c r="AE386" s="95"/>
      <c r="AF386" s="95"/>
      <c r="AG386" s="95"/>
      <c r="AH386" s="95"/>
      <c r="AI386" s="95"/>
      <c r="AJ386" s="95"/>
      <c r="AK386" s="95"/>
      <c r="AL386" s="95"/>
      <c r="AM386" s="95"/>
      <c r="AN386" s="95"/>
      <c r="AO386" s="95"/>
      <c r="AP386" s="95"/>
      <c r="AQ386" s="96"/>
      <c r="AR386" s="4"/>
      <c r="AS386" s="4"/>
    </row>
    <row r="387" spans="1:85" customHeight="1" ht="12.7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</row>
    <row r="388" spans="1:85" customHeight="1" ht="19.5">
      <c r="A388" s="36" t="s">
        <v>112</v>
      </c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8"/>
      <c r="AR388" s="4"/>
      <c r="AS388" s="4"/>
    </row>
    <row r="389" spans="1:85" customHeight="1" ht="13.5">
      <c r="A389" s="25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26"/>
      <c r="AR389" s="4"/>
      <c r="AS389" s="4"/>
    </row>
    <row r="390" spans="1:85" customHeight="1" ht="13.5">
      <c r="A390" s="25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26"/>
      <c r="AR390" s="4"/>
      <c r="AS390" s="4"/>
    </row>
    <row r="391" spans="1:85" customHeight="1" ht="13.5">
      <c r="A391" s="25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26"/>
      <c r="AR391" s="4"/>
      <c r="AS391" s="4"/>
    </row>
    <row r="392" spans="1:85" customHeight="1" ht="13.5">
      <c r="A392" s="27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9"/>
      <c r="AR392" s="4"/>
      <c r="AS392" s="4"/>
    </row>
    <row r="393" spans="1:85" customHeight="1" ht="13.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</row>
    <row r="394" spans="1:85" customHeight="1" ht="22.5">
      <c r="A394" s="197" t="s">
        <v>113</v>
      </c>
      <c r="B394" s="195"/>
      <c r="C394" s="195"/>
      <c r="D394" s="195"/>
      <c r="E394" s="195"/>
      <c r="F394" s="195"/>
      <c r="G394" s="195"/>
      <c r="H394" s="195"/>
      <c r="I394" s="195"/>
      <c r="J394" s="195"/>
      <c r="K394" s="195"/>
      <c r="L394" s="195"/>
      <c r="M394" s="195"/>
      <c r="N394" s="195"/>
      <c r="O394" s="195"/>
      <c r="P394" s="195"/>
      <c r="Q394" s="195"/>
      <c r="R394" s="195"/>
      <c r="S394" s="195"/>
      <c r="T394" s="195"/>
      <c r="U394" s="195"/>
      <c r="V394" s="195"/>
      <c r="W394" s="194" t="s">
        <v>114</v>
      </c>
      <c r="X394" s="195"/>
      <c r="Y394" s="195"/>
      <c r="Z394" s="195"/>
      <c r="AA394" s="195"/>
      <c r="AB394" s="195"/>
      <c r="AC394" s="195"/>
      <c r="AD394" s="195"/>
      <c r="AE394" s="195"/>
      <c r="AF394" s="195"/>
      <c r="AG394" s="195"/>
      <c r="AH394" s="195"/>
      <c r="AI394" s="195"/>
      <c r="AJ394" s="195"/>
      <c r="AK394" s="195"/>
      <c r="AL394" s="195"/>
      <c r="AM394" s="195"/>
      <c r="AN394" s="195"/>
      <c r="AO394" s="195"/>
      <c r="AP394" s="195"/>
      <c r="AQ394" s="196"/>
      <c r="AR394" s="16"/>
      <c r="AS394" s="16"/>
    </row>
    <row r="395" spans="1:85" customHeight="1" ht="22.5">
      <c r="A395" s="30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31"/>
      <c r="AR395" s="16"/>
      <c r="AS395" s="16"/>
    </row>
    <row r="396" spans="1:85" customHeight="1" ht="20.25">
      <c r="A396" s="32"/>
      <c r="B396" s="4"/>
      <c r="C396" s="4"/>
      <c r="D396" s="4"/>
      <c r="E396" s="4"/>
      <c r="F396" s="152" t="s">
        <v>115</v>
      </c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28"/>
      <c r="T396" s="28"/>
      <c r="U396" s="28"/>
      <c r="V396" s="4"/>
      <c r="W396" s="4"/>
      <c r="X396" s="28"/>
      <c r="Y396" s="28"/>
      <c r="Z396" s="152" t="s">
        <v>16</v>
      </c>
      <c r="AA396" s="152"/>
      <c r="AB396" s="152"/>
      <c r="AC396" s="152"/>
      <c r="AD396" s="152"/>
      <c r="AE396" s="152"/>
      <c r="AF396" s="152"/>
      <c r="AG396" s="152"/>
      <c r="AH396" s="152"/>
      <c r="AI396" s="152"/>
      <c r="AJ396" s="152"/>
      <c r="AK396" s="152"/>
      <c r="AL396" s="152"/>
      <c r="AM396" s="152"/>
      <c r="AN396" s="152"/>
      <c r="AO396" s="28"/>
      <c r="AP396" s="28"/>
      <c r="AQ396" s="33"/>
      <c r="AR396" s="4"/>
      <c r="AS396" s="4"/>
    </row>
    <row r="397" spans="1:85" customHeight="1" ht="13.5">
      <c r="A397" s="193" t="s">
        <v>116</v>
      </c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91" t="s">
        <v>117</v>
      </c>
      <c r="X397" s="105"/>
      <c r="Y397" s="105"/>
      <c r="Z397" s="105"/>
      <c r="AA397" s="105"/>
      <c r="AB397" s="105"/>
      <c r="AC397" s="105"/>
      <c r="AD397" s="105"/>
      <c r="AE397" s="105"/>
      <c r="AF397" s="105"/>
      <c r="AG397" s="105"/>
      <c r="AH397" s="105"/>
      <c r="AI397" s="105"/>
      <c r="AJ397" s="105"/>
      <c r="AK397" s="105"/>
      <c r="AL397" s="105"/>
      <c r="AM397" s="105"/>
      <c r="AN397" s="105"/>
      <c r="AO397" s="105"/>
      <c r="AP397" s="105"/>
      <c r="AQ397" s="192"/>
      <c r="AR397" s="18"/>
      <c r="AS397" s="18"/>
    </row>
    <row r="398" spans="1:85" customHeight="1" ht="13.5">
      <c r="A398" s="32"/>
      <c r="B398" s="4"/>
      <c r="C398" s="4"/>
      <c r="D398" s="4"/>
      <c r="E398" s="4"/>
      <c r="F398" s="4"/>
      <c r="G398" s="4"/>
      <c r="H398" s="4"/>
      <c r="I398" s="4"/>
      <c r="J398" s="4"/>
      <c r="K398" s="4" t="s">
        <v>118</v>
      </c>
      <c r="L398" s="4"/>
      <c r="M398" s="152"/>
      <c r="N398" s="152"/>
      <c r="O398" s="152"/>
      <c r="P398" s="152"/>
      <c r="Q398" s="152"/>
      <c r="R398" s="152"/>
      <c r="S398" s="152"/>
      <c r="T398" s="152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33"/>
      <c r="AR398" s="4"/>
      <c r="AS398" s="4"/>
    </row>
    <row r="399" spans="1:85" customHeight="1" ht="13.5">
      <c r="A399" s="188"/>
      <c r="B399" s="189"/>
      <c r="C399" s="189"/>
      <c r="D399" s="189"/>
      <c r="E399" s="189"/>
      <c r="F399" s="189"/>
      <c r="G399" s="189"/>
      <c r="H399" s="189"/>
      <c r="I399" s="189"/>
      <c r="J399" s="189"/>
      <c r="K399" s="189"/>
      <c r="L399" s="189"/>
      <c r="M399" s="189"/>
      <c r="N399" s="189"/>
      <c r="O399" s="189"/>
      <c r="P399" s="189"/>
      <c r="Q399" s="189"/>
      <c r="R399" s="189"/>
      <c r="S399" s="189"/>
      <c r="T399" s="189"/>
      <c r="U399" s="189"/>
      <c r="V399" s="189"/>
      <c r="W399" s="189"/>
      <c r="X399" s="189"/>
      <c r="Y399" s="189"/>
      <c r="Z399" s="189"/>
      <c r="AA399" s="189"/>
      <c r="AB399" s="189"/>
      <c r="AC399" s="189"/>
      <c r="AD399" s="189"/>
      <c r="AE399" s="189"/>
      <c r="AF399" s="189"/>
      <c r="AG399" s="189"/>
      <c r="AH399" s="189"/>
      <c r="AI399" s="189"/>
      <c r="AJ399" s="189"/>
      <c r="AK399" s="189"/>
      <c r="AL399" s="189"/>
      <c r="AM399" s="189"/>
      <c r="AN399" s="189"/>
      <c r="AO399" s="189"/>
      <c r="AP399" s="189"/>
      <c r="AQ399" s="190"/>
      <c r="AR399" s="19"/>
      <c r="AS399" s="19"/>
    </row>
    <row r="400" spans="1:85" customHeight="1" ht="13.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</row>
    <row r="401" spans="1:85" customHeight="1" ht="13.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</row>
    <row r="402" spans="1:85" customHeight="1" ht="13.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</row>
    <row r="403" spans="1:85" customHeight="1" ht="13.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</row>
    <row r="404" spans="1:85" customHeight="1" ht="13.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</row>
    <row r="405" spans="1:85" customHeight="1" ht="13.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</row>
    <row r="406" spans="1:85" customHeight="1" ht="13.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</row>
    <row r="407" spans="1:85" customHeight="1" ht="13.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</row>
    <row r="408" spans="1:85" customHeight="1" ht="13.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</row>
    <row r="409" spans="1:85" customHeight="1" ht="13.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</row>
    <row r="410" spans="1:85" customHeight="1" ht="13.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</row>
    <row r="411" spans="1:85" customHeight="1" ht="13.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</row>
    <row r="412" spans="1:85" customHeight="1" ht="13.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</row>
    <row r="413" spans="1:85" customHeight="1" ht="13.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</row>
    <row r="414" spans="1:85" customHeight="1" ht="13.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</row>
    <row r="415" spans="1:85" customHeight="1" ht="13.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</row>
    <row r="416" spans="1:85" customHeight="1" ht="13.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</row>
    <row r="417" spans="1:85" customHeight="1" ht="13.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</row>
    <row r="418" spans="1:85" customHeight="1" ht="13.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</row>
    <row r="419" spans="1:85" customHeight="1" ht="13.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</row>
    <row r="420" spans="1:85" customHeight="1" ht="13.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</row>
    <row r="421" spans="1:85" customHeight="1" ht="13.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</row>
    <row r="422" spans="1:85" customHeight="1" ht="13.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</row>
    <row r="423" spans="1:85" customHeight="1" ht="13.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</row>
    <row r="424" spans="1:85" customHeight="1" ht="13.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</row>
    <row r="425" spans="1:85" customHeight="1" ht="13.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</row>
    <row r="426" spans="1:85" customHeight="1" ht="13.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</row>
    <row r="427" spans="1:85" customHeight="1" ht="13.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</row>
    <row r="428" spans="1:85" customHeight="1" ht="13.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</row>
    <row r="429" spans="1:85" customHeight="1" ht="13.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</row>
    <row r="430" spans="1:85" customHeight="1" ht="13.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</row>
    <row r="431" spans="1:85" customHeight="1" ht="13.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</row>
    <row r="432" spans="1:85" customHeight="1" ht="13.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</row>
    <row r="433" spans="1:85" customHeight="1" ht="13.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</row>
    <row r="434" spans="1:85" customHeight="1" ht="13.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</row>
    <row r="435" spans="1:85" customHeight="1" ht="13.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</row>
    <row r="436" spans="1:85" customHeight="1" ht="13.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</row>
    <row r="437" spans="1:85" customHeight="1" ht="13.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</row>
    <row r="438" spans="1:85" customHeight="1" ht="13.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</row>
    <row r="439" spans="1:85" customHeight="1" ht="13.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</row>
    <row r="440" spans="1:85" customHeight="1" ht="13.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</row>
    <row r="441" spans="1:85" customHeight="1" ht="13.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</row>
    <row r="442" spans="1:85" customHeight="1" ht="13.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</row>
    <row r="443" spans="1:85" customHeight="1" ht="13.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</row>
    <row r="444" spans="1:85" customHeight="1" ht="13.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</row>
    <row r="445" spans="1:85" customHeight="1" ht="13.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</row>
    <row r="446" spans="1:85" customHeight="1" ht="13.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</row>
    <row r="447" spans="1:85" customHeight="1" ht="13.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</row>
    <row r="448" spans="1:85" customHeight="1" ht="13.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</row>
    <row r="449" spans="1:85" customHeight="1" ht="13.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</row>
    <row r="450" spans="1:85" customHeight="1" ht="13.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</row>
    <row r="451" spans="1:85" customHeight="1" ht="13.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</row>
    <row r="452" spans="1:85" customHeight="1" ht="13.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</row>
    <row r="453" spans="1:85" customHeight="1" ht="13.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</row>
    <row r="454" spans="1:85" customHeight="1" ht="13.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</row>
    <row r="455" spans="1:85" customHeight="1" ht="13.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</row>
    <row r="456" spans="1:85" customHeight="1" ht="13.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</row>
    <row r="457" spans="1:85" customHeight="1" ht="13.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</row>
    <row r="458" spans="1:85" customHeight="1" ht="13.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</row>
    <row r="459" spans="1:85" customHeight="1" ht="13.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</row>
    <row r="460" spans="1:85" customHeight="1" ht="13.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</row>
    <row r="461" spans="1:85" customHeight="1" ht="13.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</row>
    <row r="462" spans="1:85" customHeight="1" ht="13.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</row>
    <row r="463" spans="1:85" customHeight="1" ht="13.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</row>
    <row r="464" spans="1:85" customHeight="1" ht="13.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</row>
    <row r="465" spans="1:85" customHeight="1" ht="13.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</row>
    <row r="466" spans="1:85" customHeight="1" ht="13.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</row>
    <row r="467" spans="1:85" customHeight="1" ht="13.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</row>
    <row r="468" spans="1:85" customHeight="1" ht="13.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</row>
    <row r="469" spans="1:85" customHeight="1" ht="13.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</row>
    <row r="470" spans="1:85" customHeight="1" ht="13.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</row>
    <row r="471" spans="1:85" customHeight="1" ht="13.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</row>
    <row r="472" spans="1:85" customHeight="1" ht="13.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</row>
    <row r="473" spans="1:85" customHeight="1" ht="13.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</row>
    <row r="474" spans="1:85" customHeight="1" ht="13.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</row>
    <row r="475" spans="1:85" customHeight="1" ht="13.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</row>
    <row r="476" spans="1:85" customHeight="1" ht="13.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</row>
    <row r="477" spans="1:85" customHeight="1" ht="13.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</row>
    <row r="478" spans="1:85" customHeight="1" ht="13.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</row>
    <row r="479" spans="1:85" customHeight="1" ht="13.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</row>
    <row r="480" spans="1:85" customHeight="1" ht="13.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</row>
    <row r="481" spans="1:85" customHeight="1" ht="13.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</row>
    <row r="482" spans="1:85" customHeight="1" ht="13.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</row>
    <row r="483" spans="1:85" customHeight="1" ht="13.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</row>
    <row r="484" spans="1:85" customHeight="1" ht="13.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</row>
    <row r="485" spans="1:85" customHeight="1" ht="13.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</row>
    <row r="486" spans="1:85" customHeight="1" ht="13.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</row>
    <row r="487" spans="1:85" customHeight="1" ht="13.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</row>
    <row r="488" spans="1:85" customHeight="1" ht="13.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</row>
    <row r="489" spans="1:85" customHeight="1" ht="13.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</row>
    <row r="490" spans="1:85" customHeight="1" ht="13.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</row>
    <row r="491" spans="1:85" customHeight="1" ht="13.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</row>
    <row r="492" spans="1:85" customHeight="1" ht="13.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</row>
    <row r="493" spans="1:85" customHeight="1" ht="13.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</row>
    <row r="494" spans="1:85" customHeight="1" ht="13.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</row>
    <row r="495" spans="1:85" customHeight="1" ht="13.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</row>
    <row r="496" spans="1:85" customHeight="1" ht="13.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</row>
    <row r="497" spans="1:85" customHeight="1" ht="13.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</row>
    <row r="498" spans="1:85" customHeight="1" ht="13.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</row>
    <row r="499" spans="1:85" customHeight="1" ht="13.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</row>
    <row r="500" spans="1:85" customHeight="1" ht="13.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</row>
    <row r="501" spans="1:85" customHeight="1" ht="13.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</row>
    <row r="502" spans="1:85" customHeight="1" ht="13.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</row>
    <row r="503" spans="1:85" customHeight="1" ht="13.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</row>
    <row r="504" spans="1:85" customHeight="1" ht="13.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</row>
    <row r="505" spans="1:85" customHeight="1" ht="13.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</row>
    <row r="506" spans="1:85" customHeight="1" ht="13.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</row>
    <row r="507" spans="1:85" customHeight="1" ht="13.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</row>
    <row r="508" spans="1:85" customHeight="1" ht="13.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</row>
    <row r="509" spans="1:85" customHeight="1" ht="13.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</row>
    <row r="510" spans="1:85" customHeight="1" ht="13.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</row>
    <row r="511" spans="1:85" customHeight="1" ht="13.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</row>
    <row r="512" spans="1:85" customHeight="1" ht="13.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</row>
    <row r="513" spans="1:85" customHeight="1" ht="13.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</row>
    <row r="514" spans="1:85" customHeight="1" ht="13.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</row>
    <row r="515" spans="1:85" customHeight="1" ht="13.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</row>
    <row r="516" spans="1:85" customHeight="1" ht="13.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</row>
    <row r="517" spans="1:85" customHeight="1" ht="13.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</row>
    <row r="518" spans="1:85" customHeight="1" ht="13.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</row>
    <row r="519" spans="1:85" customHeight="1" ht="13.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</row>
    <row r="520" spans="1:85" customHeight="1" ht="13.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</row>
    <row r="521" spans="1:85" customHeight="1" ht="13.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</row>
    <row r="522" spans="1:85" customHeight="1" ht="13.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</row>
    <row r="523" spans="1:85" customHeight="1" ht="13.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</row>
    <row r="524" spans="1:85" customHeight="1" ht="13.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</row>
    <row r="525" spans="1:85" customHeight="1" ht="13.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</row>
    <row r="526" spans="1:85" customHeight="1" ht="13.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</row>
    <row r="527" spans="1:85" customHeight="1" ht="13.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</row>
    <row r="528" spans="1:85" customHeight="1" ht="13.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</row>
    <row r="529" spans="1:85" customHeight="1" ht="13.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</row>
    <row r="530" spans="1:85" customHeight="1" ht="13.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</row>
    <row r="531" spans="1:85" customHeight="1" ht="13.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</row>
    <row r="532" spans="1:85" customHeight="1" ht="13.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</row>
    <row r="533" spans="1:85" customHeight="1" ht="13.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</row>
    <row r="534" spans="1:85" customHeight="1" ht="13.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</row>
    <row r="535" spans="1:85" customHeight="1" ht="13.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</row>
    <row r="536" spans="1:85" customHeight="1" ht="13.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</row>
    <row r="537" spans="1:85" customHeight="1" ht="13.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</row>
    <row r="538" spans="1:85" customHeight="1" ht="13.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</row>
    <row r="539" spans="1:85" customHeight="1" ht="13.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</row>
    <row r="540" spans="1:85" customHeight="1" ht="13.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</row>
    <row r="541" spans="1:85" customHeight="1" ht="13.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</row>
    <row r="542" spans="1:85" customHeight="1" ht="13.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</row>
    <row r="543" spans="1:85" customHeight="1" ht="13.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</row>
    <row r="544" spans="1:85" customHeight="1" ht="13.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</row>
    <row r="545" spans="1:85" customHeight="1" ht="13.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</row>
    <row r="546" spans="1:85" customHeight="1" ht="13.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</row>
    <row r="547" spans="1:85" customHeight="1" ht="13.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</row>
    <row r="548" spans="1:85" customHeight="1" ht="13.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</row>
    <row r="549" spans="1:85" customHeight="1" ht="13.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</row>
    <row r="550" spans="1:85" customHeight="1" ht="13.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</row>
    <row r="551" spans="1:85" customHeight="1" ht="13.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</row>
    <row r="552" spans="1:85" customHeight="1" ht="13.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</row>
    <row r="553" spans="1:85" customHeight="1" ht="13.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</row>
    <row r="554" spans="1:85" customHeight="1" ht="13.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</row>
    <row r="555" spans="1:85" customHeight="1" ht="13.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</row>
    <row r="556" spans="1:85" customHeight="1" ht="13.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</row>
    <row r="557" spans="1:85" customHeight="1" ht="13.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</row>
    <row r="558" spans="1:85" customHeight="1" ht="13.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</row>
    <row r="559" spans="1:85" customHeight="1" ht="13.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</row>
    <row r="560" spans="1:85" customHeight="1" ht="13.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</row>
    <row r="561" spans="1:85" customHeight="1" ht="13.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</row>
    <row r="562" spans="1:85" customHeight="1" ht="13.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</row>
    <row r="563" spans="1:85" customHeight="1" ht="13.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</row>
    <row r="564" spans="1:85" customHeight="1" ht="13.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</row>
    <row r="565" spans="1:85" customHeight="1" ht="13.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</row>
    <row r="566" spans="1:85" customHeight="1" ht="13.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</row>
    <row r="567" spans="1:85" customHeight="1" ht="13.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</row>
    <row r="568" spans="1:85" customHeight="1" ht="13.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</row>
    <row r="569" spans="1:85" customHeight="1" ht="13.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</row>
    <row r="570" spans="1:85" customHeight="1" ht="13.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</row>
    <row r="571" spans="1:85" customHeight="1" ht="13.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</row>
    <row r="572" spans="1:85" customHeight="1" ht="13.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</row>
    <row r="573" spans="1:85" customHeight="1" ht="13.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</row>
    <row r="574" spans="1:85" customHeight="1" ht="13.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</row>
    <row r="575" spans="1:85" customHeight="1" ht="13.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</row>
    <row r="576" spans="1:85" customHeight="1" ht="13.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</row>
    <row r="577" spans="1:85" customHeight="1" ht="13.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</row>
    <row r="578" spans="1:85" customHeight="1" ht="13.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</row>
    <row r="579" spans="1:85" customHeight="1" ht="13.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</row>
    <row r="580" spans="1:85" customHeight="1" ht="13.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</row>
    <row r="581" spans="1:85" customHeight="1" ht="13.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</row>
    <row r="582" spans="1:85" customHeight="1" ht="13.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</row>
    <row r="583" spans="1:85" customHeight="1" ht="13.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</row>
    <row r="584" spans="1:85" customHeight="1" ht="13.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</row>
    <row r="585" spans="1:85" customHeight="1" ht="13.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</row>
    <row r="586" spans="1:85" customHeight="1" ht="13.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</row>
    <row r="587" spans="1:85" customHeight="1" ht="13.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</row>
    <row r="588" spans="1:85" customHeight="1" ht="13.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</row>
    <row r="589" spans="1:85" customHeight="1" ht="13.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</row>
    <row r="590" spans="1:85" customHeight="1" ht="13.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</row>
    <row r="591" spans="1:85" customHeight="1" ht="13.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</row>
    <row r="592" spans="1:85" customHeight="1" ht="13.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</row>
    <row r="593" spans="1:85" customHeight="1" ht="13.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</row>
    <row r="594" spans="1:85" customHeight="1" ht="13.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</row>
    <row r="595" spans="1:85" customHeight="1" ht="13.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</row>
    <row r="596" spans="1:85" customHeight="1" ht="1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</row>
    <row r="597" spans="1:85" customHeight="1" ht="1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</row>
    <row r="598" spans="1:85" customHeight="1" ht="1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</row>
    <row r="599" spans="1:85" customHeight="1" ht="1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</row>
    <row r="600" spans="1:85" customHeight="1" ht="1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</row>
    <row r="601" spans="1:85" customHeight="1" ht="1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</row>
    <row r="602" spans="1:85" customHeight="1" ht="1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</row>
    <row r="603" spans="1:85" customHeight="1" ht="1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</row>
    <row r="604" spans="1:85" customHeight="1" ht="1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</row>
    <row r="605" spans="1:85" customHeight="1" ht="1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</row>
    <row r="606" spans="1:85" customHeight="1" ht="1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</row>
    <row r="607" spans="1:85" customHeight="1" ht="1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</row>
    <row r="608" spans="1:85" customHeight="1" ht="1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</row>
    <row r="609" spans="1:85" customHeight="1" ht="1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</row>
    <row r="610" spans="1:85" customHeight="1" ht="1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</row>
    <row r="611" spans="1:85" customHeight="1" ht="1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</row>
    <row r="612" spans="1:85" customHeight="1" ht="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</row>
    <row r="613" spans="1:85" customHeight="1" ht="1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</row>
    <row r="614" spans="1:85" customHeight="1" ht="1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</row>
    <row r="615" spans="1:85" customHeight="1" ht="1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</row>
    <row r="616" spans="1:85" customHeight="1" ht="1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</row>
    <row r="617" spans="1:85" customHeight="1" ht="1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</row>
    <row r="618" spans="1:85" customHeight="1" ht="1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</row>
    <row r="619" spans="1:85" customHeight="1" ht="1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</row>
    <row r="620" spans="1:85" customHeight="1" ht="1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</row>
    <row r="621" spans="1:85" customHeight="1" ht="1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</row>
    <row r="622" spans="1:85" customHeight="1" ht="1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</row>
    <row r="623" spans="1:85" customHeight="1" ht="1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</row>
    <row r="624" spans="1:85" customHeight="1" ht="1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</row>
    <row r="625" spans="1:85" customHeight="1" ht="1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</row>
    <row r="626" spans="1:85" customHeight="1" ht="1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</row>
    <row r="627" spans="1:85" customHeight="1" ht="1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</row>
    <row r="628" spans="1:85" customHeight="1" ht="1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</row>
    <row r="629" spans="1:85" customHeight="1" ht="1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</row>
    <row r="630" spans="1:85" customHeight="1" ht="1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</row>
    <row r="631" spans="1:85" customHeight="1" ht="1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</row>
    <row r="632" spans="1:85" customHeight="1" ht="1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</row>
    <row r="633" spans="1:85" customHeight="1" ht="1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</row>
    <row r="634" spans="1:85" customHeight="1" ht="1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</row>
    <row r="635" spans="1:85" customHeight="1" ht="1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</row>
    <row r="636" spans="1:85" customHeight="1" ht="1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</row>
    <row r="637" spans="1:85" customHeight="1" ht="1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</row>
    <row r="638" spans="1:85" customHeight="1" ht="1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</row>
    <row r="639" spans="1:85" customHeight="1" ht="1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</row>
    <row r="640" spans="1:85" customHeight="1" ht="1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</row>
    <row r="641" spans="1:85" customHeight="1" ht="1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</row>
    <row r="642" spans="1:85" customHeight="1" ht="1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</row>
    <row r="643" spans="1:85" customHeight="1" ht="1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</row>
    <row r="644" spans="1:85" customHeight="1" ht="1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</row>
    <row r="645" spans="1:85" customHeight="1" ht="1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</row>
    <row r="646" spans="1:85" customHeight="1" ht="1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</row>
    <row r="647" spans="1:85" customHeight="1" ht="1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</row>
    <row r="648" spans="1:85" customHeight="1" ht="1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</row>
    <row r="649" spans="1:85" customHeight="1" ht="1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</row>
    <row r="650" spans="1:85" customHeight="1" ht="1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</row>
    <row r="651" spans="1:85" customHeight="1" ht="1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</row>
    <row r="652" spans="1:85" customHeight="1" ht="1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</row>
    <row r="653" spans="1:85" customHeight="1" ht="1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</row>
    <row r="654" spans="1:85" customHeight="1" ht="1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</row>
    <row r="655" spans="1:85" customHeight="1" ht="1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</row>
    <row r="656" spans="1:85" customHeight="1" ht="1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</row>
    <row r="657" spans="1:85" customHeight="1" ht="1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</row>
    <row r="658" spans="1:85" customHeight="1" ht="1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</row>
    <row r="659" spans="1:85" customHeight="1" ht="1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</row>
    <row r="660" spans="1:85" customHeight="1" ht="1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</row>
    <row r="661" spans="1:85" customHeight="1" ht="1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</row>
    <row r="662" spans="1:85" customHeight="1" ht="1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</row>
    <row r="663" spans="1:85" customHeight="1" ht="1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</row>
    <row r="664" spans="1:85" customHeight="1" ht="1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</row>
    <row r="665" spans="1:85" customHeight="1" ht="1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</row>
    <row r="666" spans="1:85" customHeight="1" ht="1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</row>
    <row r="667" spans="1:85" customHeight="1" ht="1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</row>
    <row r="668" spans="1:85" customHeight="1" ht="1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</row>
    <row r="669" spans="1:85" customHeight="1" ht="1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</row>
    <row r="670" spans="1:85" customHeight="1" ht="1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</row>
    <row r="671" spans="1:85" customHeight="1" ht="1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</row>
    <row r="672" spans="1:85" customHeight="1" ht="1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</row>
    <row r="673" spans="1:85" customHeight="1" ht="1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</row>
    <row r="674" spans="1:85" customHeight="1" ht="1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</row>
    <row r="675" spans="1:85" customHeight="1" ht="1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</row>
    <row r="676" spans="1:85" customHeight="1" ht="1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</row>
    <row r="677" spans="1:85" customHeight="1" ht="1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</row>
    <row r="678" spans="1:85" customHeight="1" ht="1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</row>
    <row r="679" spans="1:85" customHeight="1" ht="1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</row>
    <row r="680" spans="1:85" customHeight="1" ht="1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</row>
    <row r="681" spans="1:85" customHeight="1" ht="1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</row>
    <row r="682" spans="1:85" customHeight="1" ht="1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</row>
    <row r="683" spans="1:85" customHeight="1" ht="1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</row>
    <row r="684" spans="1:85" customHeight="1" ht="1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</row>
    <row r="685" spans="1:85" customHeight="1" ht="1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</row>
    <row r="686" spans="1:85" customHeight="1" ht="1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</row>
    <row r="687" spans="1:85" customHeight="1" ht="1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</row>
    <row r="688" spans="1:85" customHeight="1" ht="1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</row>
    <row r="689" spans="1:85" customHeight="1" ht="1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</row>
    <row r="690" spans="1:85" customHeight="1" ht="1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</row>
    <row r="691" spans="1:85" customHeight="1" ht="1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</row>
    <row r="692" spans="1:85" customHeight="1" ht="1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</row>
    <row r="693" spans="1:85" customHeight="1" ht="1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</row>
    <row r="694" spans="1:85" customHeight="1" ht="1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</row>
    <row r="695" spans="1:85" customHeight="1" ht="1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</row>
    <row r="696" spans="1:85" customHeight="1" ht="1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</row>
    <row r="697" spans="1:85" customHeight="1" ht="1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</row>
    <row r="698" spans="1:85" customHeight="1" ht="1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</row>
    <row r="699" spans="1:85" customHeight="1" ht="1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</row>
    <row r="700" spans="1:85" customHeight="1" ht="1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</row>
    <row r="701" spans="1:85" customHeight="1" ht="1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</row>
    <row r="702" spans="1:85" customHeight="1" ht="1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</row>
    <row r="703" spans="1:85" customHeight="1" ht="1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</row>
    <row r="704" spans="1:85" customHeight="1" ht="1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</row>
    <row r="705" spans="1:85" customHeight="1" ht="1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</row>
    <row r="706" spans="1:85" customHeight="1" ht="1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</row>
    <row r="707" spans="1:85" customHeight="1" ht="1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</row>
    <row r="708" spans="1:85" customHeight="1" ht="1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</row>
    <row r="709" spans="1:85" customHeight="1" ht="1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</row>
    <row r="710" spans="1:85" customHeight="1" ht="1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</row>
    <row r="711" spans="1:85" customHeight="1" ht="1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</row>
    <row r="712" spans="1:85" customHeight="1" ht="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</row>
    <row r="713" spans="1:85" customHeight="1" ht="1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</row>
    <row r="714" spans="1:85" customHeight="1" ht="1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</row>
    <row r="715" spans="1:85" customHeight="1" ht="1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</row>
    <row r="716" spans="1:85" customHeight="1" ht="1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</row>
    <row r="717" spans="1:85" customHeight="1" ht="1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</row>
    <row r="718" spans="1:85" customHeight="1" ht="1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</row>
    <row r="719" spans="1:85" customHeight="1" ht="1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</row>
    <row r="720" spans="1:85" customHeight="1" ht="1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</row>
    <row r="721" spans="1:85" customHeight="1" ht="1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</row>
    <row r="722" spans="1:85" customHeight="1" ht="1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</row>
    <row r="723" spans="1:85" customHeight="1" ht="1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</row>
    <row r="724" spans="1:85" customHeight="1" ht="1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</row>
    <row r="725" spans="1:85" customHeight="1" ht="1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</row>
    <row r="726" spans="1:85" customHeight="1" ht="1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</row>
    <row r="727" spans="1:85" customHeight="1" ht="1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</row>
    <row r="728" spans="1:85" customHeight="1" ht="1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</row>
    <row r="729" spans="1:85" customHeight="1" ht="1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</row>
    <row r="730" spans="1:85" customHeight="1" ht="1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</row>
    <row r="731" spans="1:85" customHeight="1" ht="1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</row>
    <row r="732" spans="1:85" customHeight="1" ht="1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</row>
    <row r="733" spans="1:85" customHeight="1" ht="1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</row>
    <row r="734" spans="1:85" customHeight="1" ht="1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</row>
    <row r="735" spans="1:85" customHeight="1" ht="1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</row>
    <row r="736" spans="1:85" customHeight="1" ht="1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</row>
    <row r="737" spans="1:85" customHeight="1" ht="1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</row>
    <row r="738" spans="1:85" customHeight="1" ht="1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</row>
    <row r="739" spans="1:85" customHeight="1" ht="1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</row>
    <row r="740" spans="1:85" customHeight="1" ht="1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</row>
    <row r="741" spans="1:85" customHeight="1" ht="1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</row>
    <row r="742" spans="1:85" customHeight="1" ht="1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</row>
    <row r="743" spans="1:85" customHeight="1" ht="1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</row>
    <row r="744" spans="1:85" customHeight="1" ht="1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</row>
    <row r="745" spans="1:85" customHeight="1" ht="1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</row>
    <row r="746" spans="1:85" customHeight="1" ht="1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</row>
    <row r="747" spans="1:85" customHeight="1" ht="1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</row>
    <row r="748" spans="1:85" customHeight="1" ht="1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</row>
    <row r="749" spans="1:85" customHeight="1" ht="1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</row>
    <row r="750" spans="1:85" customHeight="1" ht="1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</row>
    <row r="751" spans="1:85" customHeight="1" ht="1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</row>
    <row r="752" spans="1:85" customHeight="1" ht="1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</row>
    <row r="753" spans="1:85" customHeight="1" ht="1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</row>
    <row r="754" spans="1:85" customHeight="1" ht="1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</row>
    <row r="755" spans="1:85" customHeight="1" ht="1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</row>
    <row r="756" spans="1:85" customHeight="1" ht="1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</row>
    <row r="757" spans="1:85" customHeight="1" ht="1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</row>
    <row r="758" spans="1:85" customHeight="1" ht="1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</row>
    <row r="759" spans="1:85" customHeight="1" ht="1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</row>
    <row r="760" spans="1:85" customHeight="1" ht="1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</row>
    <row r="761" spans="1:85" customHeight="1" ht="1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</row>
    <row r="762" spans="1:85" customHeight="1" ht="1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</row>
    <row r="763" spans="1:85" customHeight="1" ht="1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</row>
    <row r="764" spans="1:85" customHeight="1" ht="1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</row>
    <row r="765" spans="1:85" customHeight="1" ht="1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</row>
    <row r="766" spans="1:85" customHeight="1" ht="1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</row>
    <row r="767" spans="1:85" customHeight="1" ht="1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</row>
    <row r="768" spans="1:85" customHeight="1" ht="1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</row>
    <row r="769" spans="1:85" customHeight="1" ht="1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</row>
    <row r="770" spans="1:85" customHeight="1" ht="1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</row>
    <row r="771" spans="1:85" customHeight="1" ht="1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</row>
    <row r="772" spans="1:85" customHeight="1" ht="1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</row>
    <row r="773" spans="1:85" customHeight="1" ht="1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</row>
    <row r="774" spans="1:85" customHeight="1" ht="1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</row>
    <row r="775" spans="1:85" customHeight="1" ht="1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</row>
    <row r="776" spans="1:85" customHeight="1" ht="1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</row>
    <row r="777" spans="1:85" customHeight="1" ht="1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</row>
    <row r="778" spans="1:85" customHeight="1" ht="1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</row>
    <row r="779" spans="1:85" customHeight="1" ht="1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</row>
    <row r="780" spans="1:85" customHeight="1" ht="1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</row>
    <row r="781" spans="1:85" customHeight="1" ht="1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</row>
    <row r="782" spans="1:85" customHeight="1" ht="1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</row>
    <row r="783" spans="1:85" customHeight="1" ht="1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</row>
    <row r="784" spans="1:85" customHeight="1" ht="1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</row>
    <row r="785" spans="1:85" customHeight="1" ht="1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</row>
    <row r="786" spans="1:85" customHeight="1" ht="1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</row>
    <row r="787" spans="1:85" customHeight="1" ht="1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</row>
    <row r="788" spans="1:85" customHeight="1" ht="1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</row>
    <row r="789" spans="1:85" customHeight="1" ht="1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</row>
    <row r="790" spans="1:85" customHeight="1" ht="1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</row>
    <row r="791" spans="1:85" customHeight="1" ht="1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</row>
    <row r="792" spans="1:85" customHeight="1" ht="1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</row>
    <row r="793" spans="1:85" customHeight="1" ht="1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</row>
    <row r="794" spans="1:85" customHeight="1" ht="1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</row>
    <row r="795" spans="1:85" customHeight="1" ht="1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</row>
    <row r="796" spans="1:85" customHeight="1" ht="1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</row>
    <row r="797" spans="1:85" customHeight="1" ht="1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</row>
    <row r="798" spans="1:85" customHeight="1" ht="1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</row>
    <row r="799" spans="1:85" customHeight="1" ht="1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</row>
    <row r="800" spans="1:85" customHeight="1" ht="1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</row>
    <row r="801" spans="1:85" customHeight="1" ht="1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</row>
    <row r="802" spans="1:85" customHeight="1" ht="1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</row>
    <row r="803" spans="1:85" customHeight="1" ht="1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</row>
    <row r="804" spans="1:85" customHeight="1" ht="1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</row>
    <row r="805" spans="1:85" customHeight="1" ht="1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</row>
    <row r="806" spans="1:85" customHeight="1" ht="1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</row>
    <row r="807" spans="1:85" customHeight="1" ht="1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</row>
    <row r="808" spans="1:85" customHeight="1" ht="1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</row>
    <row r="809" spans="1:85" customHeight="1" ht="1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</row>
    <row r="810" spans="1:85" customHeight="1" ht="1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</row>
    <row r="811" spans="1:85" customHeight="1" ht="1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</row>
    <row r="812" spans="1:85" customHeight="1" ht="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</row>
    <row r="813" spans="1:85" customHeight="1" ht="1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</row>
    <row r="814" spans="1:85" customHeight="1" ht="1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</row>
    <row r="815" spans="1:85" customHeight="1" ht="1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</row>
    <row r="816" spans="1:85" customHeight="1" ht="1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</row>
    <row r="817" spans="1:85" customHeight="1" ht="1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</row>
    <row r="818" spans="1:85" customHeight="1" ht="1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</row>
    <row r="819" spans="1:85" customHeight="1" ht="1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</row>
    <row r="820" spans="1:85" customHeight="1" ht="1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</row>
    <row r="821" spans="1:85" customHeight="1" ht="1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</row>
    <row r="822" spans="1:85" customHeight="1" ht="1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</row>
    <row r="823" spans="1:85" customHeight="1" ht="1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</row>
    <row r="824" spans="1:85" customHeight="1" ht="1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</row>
    <row r="825" spans="1:85" customHeight="1" ht="1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</row>
    <row r="826" spans="1:85" customHeight="1" ht="1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</row>
    <row r="827" spans="1:85" customHeight="1" ht="1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</row>
    <row r="828" spans="1:85" customHeight="1" ht="1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</row>
    <row r="829" spans="1:85" customHeight="1" ht="1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</row>
    <row r="830" spans="1:85" customHeight="1" ht="1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</row>
    <row r="831" spans="1:85" customHeight="1" ht="1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</row>
    <row r="832" spans="1:85" customHeight="1" ht="1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</row>
    <row r="833" spans="1:85" customHeight="1" ht="1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</row>
    <row r="834" spans="1:85" customHeight="1" ht="1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</row>
    <row r="835" spans="1:85" customHeight="1" ht="1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</row>
    <row r="836" spans="1:85" customHeight="1" ht="1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</row>
    <row r="837" spans="1:85" customHeight="1" ht="1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</row>
    <row r="838" spans="1:85" customHeight="1" ht="1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</row>
    <row r="839" spans="1:85" customHeight="1" ht="1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</row>
    <row r="840" spans="1:85" customHeight="1" ht="1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</row>
    <row r="841" spans="1:85" customHeight="1" ht="1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</row>
    <row r="842" spans="1:85" customHeight="1" ht="1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</row>
    <row r="843" spans="1:85" customHeight="1" ht="1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</row>
    <row r="844" spans="1:85" customHeight="1" ht="1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</row>
    <row r="845" spans="1:85" customHeight="1" ht="1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</row>
    <row r="846" spans="1:85" customHeight="1" ht="1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</row>
    <row r="847" spans="1:85" customHeight="1" ht="1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</row>
    <row r="848" spans="1:85" customHeight="1" ht="1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</row>
    <row r="849" spans="1:85" customHeight="1" ht="1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</row>
    <row r="850" spans="1:85" customHeight="1" ht="1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</row>
    <row r="851" spans="1:85" customHeight="1" ht="1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</row>
    <row r="852" spans="1:85" customHeight="1" ht="1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</row>
    <row r="853" spans="1:85" customHeight="1" ht="1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</row>
    <row r="854" spans="1:85" customHeight="1" ht="1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</row>
    <row r="855" spans="1:85" customHeight="1" ht="1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</row>
    <row r="856" spans="1:85" customHeight="1" ht="1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</row>
    <row r="857" spans="1:85" customHeight="1" ht="1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</row>
    <row r="858" spans="1:85" customHeight="1" ht="1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</row>
    <row r="859" spans="1:85" customHeight="1" ht="1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</row>
    <row r="860" spans="1:85" customHeight="1" ht="1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</row>
    <row r="861" spans="1:85" customHeight="1" ht="1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</row>
    <row r="862" spans="1:85" customHeight="1" ht="1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</row>
    <row r="863" spans="1:85" customHeight="1" ht="1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</row>
    <row r="864" spans="1:85" customHeight="1" ht="1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</row>
    <row r="865" spans="1:85" customHeight="1" ht="1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</row>
    <row r="866" spans="1:85" customHeight="1" ht="1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</row>
    <row r="867" spans="1:85" customHeight="1" ht="1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</row>
    <row r="868" spans="1:85" customHeight="1" ht="1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</row>
    <row r="869" spans="1:85" customHeight="1" ht="1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</row>
    <row r="870" spans="1:85" customHeight="1" ht="1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</row>
    <row r="871" spans="1:85" customHeight="1" ht="1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</row>
    <row r="872" spans="1:85" customHeight="1" ht="1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</row>
    <row r="873" spans="1:85" customHeight="1" ht="1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</row>
    <row r="874" spans="1:85" customHeight="1" ht="1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</row>
    <row r="875" spans="1:85" customHeight="1" ht="1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</row>
    <row r="876" spans="1:85" customHeight="1" ht="1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</row>
    <row r="877" spans="1:85" customHeight="1" ht="1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</row>
    <row r="878" spans="1:85" customHeight="1" ht="1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</row>
    <row r="879" spans="1:85" customHeight="1" ht="1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</row>
    <row r="880" spans="1:85" customHeight="1" ht="1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</row>
    <row r="881" spans="1:85" customHeight="1" ht="1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</row>
    <row r="882" spans="1:85" customHeight="1" ht="1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</row>
    <row r="883" spans="1:85" customHeight="1" ht="1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</row>
    <row r="884" spans="1:85" customHeight="1" ht="1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</row>
    <row r="885" spans="1:85" customHeight="1" ht="1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</row>
    <row r="886" spans="1:85" customHeight="1" ht="1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</row>
    <row r="887" spans="1:85" customHeight="1" ht="1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</row>
    <row r="888" spans="1:85" customHeight="1" ht="1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</row>
    <row r="889" spans="1:85" customHeight="1" ht="1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</row>
    <row r="890" spans="1:85" customHeight="1" ht="1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</row>
    <row r="891" spans="1:85" customHeight="1" ht="1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</row>
    <row r="892" spans="1:85" customHeight="1" ht="1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</row>
    <row r="893" spans="1:85" customHeight="1" ht="1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</row>
    <row r="894" spans="1:85" customHeight="1" ht="1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</row>
    <row r="895" spans="1:85" customHeight="1" ht="1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</row>
    <row r="896" spans="1:85" customHeight="1" ht="1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</row>
    <row r="897" spans="1:85" customHeight="1" ht="1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</row>
    <row r="898" spans="1:85" customHeight="1" ht="1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</row>
    <row r="899" spans="1:85" customHeight="1" ht="1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</row>
    <row r="900" spans="1:85" customHeight="1" ht="1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</row>
    <row r="901" spans="1:85" customHeight="1" ht="1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</row>
    <row r="902" spans="1:85" customHeight="1" ht="1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</row>
    <row r="903" spans="1:85" customHeight="1" ht="1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</row>
    <row r="904" spans="1:85" customHeight="1" ht="1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</row>
    <row r="905" spans="1:85" customHeight="1" ht="1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</row>
    <row r="906" spans="1:85" customHeight="1" ht="1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</row>
    <row r="907" spans="1:85" customHeight="1" ht="1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</row>
    <row r="908" spans="1:85" customHeight="1" ht="1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</row>
    <row r="909" spans="1:85" customHeight="1" ht="1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</row>
    <row r="910" spans="1:85" customHeight="1" ht="1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</row>
    <row r="911" spans="1:85" customHeight="1" ht="1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</row>
    <row r="912" spans="1:85" customHeight="1" ht="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</row>
    <row r="913" spans="1:85" customHeight="1" ht="1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</row>
    <row r="914" spans="1:85" customHeight="1" ht="1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</row>
    <row r="915" spans="1:85" customHeight="1" ht="1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</row>
    <row r="916" spans="1:85" customHeight="1" ht="1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</row>
    <row r="917" spans="1:85" customHeight="1" ht="1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</row>
    <row r="918" spans="1:85" customHeight="1" ht="1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</row>
    <row r="919" spans="1:85" customHeight="1" ht="1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</row>
    <row r="920" spans="1:85" customHeight="1" ht="1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</row>
    <row r="921" spans="1:85" customHeight="1" ht="1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</row>
    <row r="922" spans="1:85" customHeight="1" ht="1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</row>
    <row r="923" spans="1:85" customHeight="1" ht="1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</row>
    <row r="924" spans="1:85" customHeight="1" ht="1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</row>
    <row r="925" spans="1:85" customHeight="1" ht="1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</row>
    <row r="926" spans="1:85" customHeight="1" ht="1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</row>
    <row r="927" spans="1:85" customHeight="1" ht="1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</row>
    <row r="928" spans="1:85" customHeight="1" ht="1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</row>
    <row r="929" spans="1:85" customHeight="1" ht="1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</row>
    <row r="930" spans="1:85" customHeight="1" ht="1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</row>
    <row r="931" spans="1:85" customHeight="1" ht="1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</row>
    <row r="932" spans="1:85" customHeight="1" ht="1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</row>
    <row r="933" spans="1:85" customHeight="1" ht="1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</row>
    <row r="934" spans="1:85" customHeight="1" ht="1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</row>
    <row r="935" spans="1:85" customHeight="1" ht="1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</row>
    <row r="936" spans="1:85" customHeight="1" ht="1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</row>
    <row r="937" spans="1:85" customHeight="1" ht="1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</row>
    <row r="938" spans="1:85" customHeight="1" ht="1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</row>
    <row r="939" spans="1:85" customHeight="1" ht="1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</row>
    <row r="940" spans="1:85" customHeight="1" ht="1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</row>
    <row r="941" spans="1:85" customHeight="1" ht="1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</row>
    <row r="942" spans="1:85" customHeight="1" ht="1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</row>
    <row r="943" spans="1:85" customHeight="1" ht="1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</row>
    <row r="944" spans="1:85" customHeight="1" ht="1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</row>
    <row r="945" spans="1:85" customHeight="1" ht="1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</row>
    <row r="946" spans="1:85" customHeight="1" ht="1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</row>
    <row r="947" spans="1:85" customHeight="1" ht="1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</row>
    <row r="948" spans="1:85" customHeight="1" ht="1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</row>
    <row r="949" spans="1:85" customHeight="1" ht="1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</row>
    <row r="950" spans="1:85" customHeight="1" ht="1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</row>
    <row r="951" spans="1:85" customHeight="1" ht="1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</row>
    <row r="952" spans="1:85" customHeight="1" ht="1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</row>
    <row r="953" spans="1:85" customHeight="1" ht="1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</row>
    <row r="954" spans="1:85" customHeight="1" ht="1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</row>
    <row r="955" spans="1:85" customHeight="1" ht="1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</row>
    <row r="956" spans="1:85" customHeight="1" ht="1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</row>
    <row r="957" spans="1:85" customHeight="1" ht="1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</row>
    <row r="958" spans="1:85" customHeight="1" ht="1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</row>
    <row r="959" spans="1:85" customHeight="1" ht="1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</row>
    <row r="960" spans="1:85" customHeight="1" ht="1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</row>
    <row r="961" spans="1:85" customHeight="1" ht="1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</row>
    <row r="962" spans="1:85" customHeight="1" ht="1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</row>
    <row r="963" spans="1:85" customHeight="1" ht="1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</row>
    <row r="964" spans="1:85" customHeight="1" ht="1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</row>
    <row r="965" spans="1:85" customHeight="1" ht="1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</row>
    <row r="966" spans="1:85" customHeight="1" ht="1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</row>
    <row r="967" spans="1:85" customHeight="1" ht="1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</row>
    <row r="968" spans="1:85" customHeight="1" ht="1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</row>
    <row r="969" spans="1:85" customHeight="1" ht="1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</row>
    <row r="970" spans="1:85" customHeight="1" ht="1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</row>
    <row r="971" spans="1:85" customHeight="1" ht="1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</row>
    <row r="972" spans="1:85" customHeight="1" ht="1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</row>
    <row r="973" spans="1:85" customHeight="1" ht="1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</row>
    <row r="974" spans="1:85" customHeight="1" ht="1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</row>
    <row r="975" spans="1:85" customHeight="1" ht="1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</row>
    <row r="976" spans="1:85" customHeight="1" ht="1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</row>
    <row r="977" spans="1:85" customHeight="1" ht="1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</row>
    <row r="978" spans="1:85" customHeight="1" ht="1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</row>
    <row r="979" spans="1:85" customHeight="1" ht="1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</row>
    <row r="980" spans="1:85" customHeight="1" ht="1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</row>
    <row r="981" spans="1:85" customHeight="1" ht="1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</row>
    <row r="982" spans="1:85" customHeight="1" ht="1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</row>
    <row r="983" spans="1:85" customHeight="1" ht="1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</row>
    <row r="984" spans="1:85" customHeight="1" ht="1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</row>
    <row r="985" spans="1:85" customHeight="1" ht="1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</row>
    <row r="986" spans="1:85" customHeight="1" ht="1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</row>
    <row r="987" spans="1:85" customHeight="1" ht="1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</row>
    <row r="988" spans="1:85" customHeight="1" ht="1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</row>
    <row r="989" spans="1:85" customHeight="1" ht="1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</row>
    <row r="990" spans="1:85" customHeight="1" ht="1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</row>
    <row r="991" spans="1:85" customHeight="1" ht="1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</row>
    <row r="992" spans="1:85" customHeight="1" ht="1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</row>
    <row r="993" spans="1:85" customHeight="1" ht="1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</row>
    <row r="994" spans="1:85" customHeight="1" ht="1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</row>
    <row r="995" spans="1:85" customHeight="1" ht="1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</row>
    <row r="996" spans="1:85" customHeight="1" ht="1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</row>
    <row r="997" spans="1:85" customHeight="1" ht="1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</row>
    <row r="998" spans="1:85" customHeight="1" ht="1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</row>
    <row r="999" spans="1:85" customHeight="1" ht="1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</row>
    <row r="1000" spans="1:85" customHeight="1" ht="1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</row>
    <row r="1001" spans="1:85" customHeight="1" ht="1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</row>
    <row r="1002" spans="1:85" customHeight="1" ht="1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</row>
    <row r="1003" spans="1:85" customHeight="1" ht="1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</row>
    <row r="1004" spans="1:85" customHeight="1" ht="1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</row>
    <row r="1005" spans="1:85" customHeight="1" ht="1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</row>
    <row r="1006" spans="1:85" customHeight="1" ht="1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</row>
    <row r="1007" spans="1:85" customHeight="1" ht="1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</row>
    <row r="1008" spans="1:85" customHeight="1" ht="12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</row>
    <row r="1009" spans="1:85" customHeight="1" ht="12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</row>
    <row r="1010" spans="1:85" customHeight="1" ht="12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</row>
    <row r="1011" spans="1:85" customHeight="1" ht="12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</row>
    <row r="1012" spans="1:85" customHeight="1" ht="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</row>
    <row r="1013" spans="1:85" customHeight="1" ht="12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</row>
    <row r="1014" spans="1:85" customHeight="1" ht="12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</row>
    <row r="1015" spans="1:85" customHeight="1" ht="12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</row>
    <row r="1016" spans="1:85" customHeight="1" ht="12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</row>
    <row r="1017" spans="1:85" customHeight="1" ht="12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</row>
    <row r="1018" spans="1:85" customHeight="1" ht="12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</row>
    <row r="1019" spans="1:85" customHeight="1" ht="12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</row>
    <row r="1020" spans="1:85" customHeight="1" ht="12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</row>
    <row r="1021" spans="1:85" customHeight="1" ht="12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</row>
    <row r="1022" spans="1:85" customHeight="1" ht="1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</row>
    <row r="1023" spans="1:85" customHeight="1" ht="12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</row>
    <row r="1024" spans="1:85" customHeight="1" ht="12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</row>
    <row r="1025" spans="1:85" customHeight="1" ht="12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</row>
    <row r="1026" spans="1:85" customHeight="1" ht="12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</row>
    <row r="1027" spans="1:85" customHeight="1" ht="12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</row>
    <row r="1028" spans="1:85" customHeight="1" ht="12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</row>
    <row r="1029" spans="1:85" customHeight="1" ht="12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</row>
    <row r="1030" spans="1:85" customHeight="1" ht="12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</row>
    <row r="1031" spans="1:85" customHeight="1" ht="12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</row>
    <row r="1032" spans="1:85" customHeight="1" ht="1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</row>
    <row r="1033" spans="1:85" customHeight="1" ht="12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</row>
    <row r="1034" spans="1:85" customHeight="1" ht="12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</row>
    <row r="1035" spans="1:85" customHeight="1" ht="12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</row>
    <row r="1036" spans="1:85" customHeight="1" ht="12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</row>
    <row r="1037" spans="1:85" customHeight="1" ht="12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</row>
    <row r="1038" spans="1:85" customHeight="1" ht="12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</row>
    <row r="1039" spans="1:85" customHeight="1" ht="12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</row>
    <row r="1040" spans="1:85" customHeight="1" ht="12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</row>
    <row r="1041" spans="1:85" customHeight="1" ht="12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</row>
    <row r="1042" spans="1:85" customHeight="1" ht="1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</row>
    <row r="1043" spans="1:85" customHeight="1" ht="12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</row>
    <row r="1044" spans="1:85" customHeight="1" ht="12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</row>
    <row r="1045" spans="1:85" customHeight="1" ht="12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</row>
    <row r="1046" spans="1:85" customHeight="1" ht="12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</row>
    <row r="1047" spans="1:85" customHeight="1" ht="12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</row>
    <row r="1048" spans="1:85" customHeight="1" ht="12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</row>
    <row r="1049" spans="1:85" customHeight="1" ht="12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</row>
    <row r="1050" spans="1:85" customHeight="1" ht="12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</row>
    <row r="1051" spans="1:85" customHeight="1" ht="12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</row>
    <row r="1052" spans="1:85" customHeight="1" ht="1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</row>
    <row r="1053" spans="1:85" customHeight="1" ht="12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</row>
    <row r="1054" spans="1:85" customHeight="1" ht="12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</row>
    <row r="1055" spans="1:85" customHeight="1" ht="12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</row>
    <row r="1056" spans="1:85" customHeight="1" ht="12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</row>
    <row r="1057" spans="1:85" customHeight="1" ht="12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</row>
    <row r="1058" spans="1:85" customHeight="1" ht="12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</row>
    <row r="1059" spans="1:85" customHeight="1" ht="12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</row>
    <row r="1060" spans="1:85" customHeight="1" ht="12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</row>
    <row r="1061" spans="1:85" customHeight="1" ht="12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</row>
    <row r="1062" spans="1:85" customHeight="1" ht="1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</row>
    <row r="1063" spans="1:85" customHeight="1" ht="12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</row>
    <row r="1064" spans="1:85" customHeight="1" ht="12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</row>
    <row r="1065" spans="1:85" customHeight="1" ht="12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</row>
    <row r="1066" spans="1:85" customHeight="1" ht="12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</row>
    <row r="1067" spans="1:85" customHeight="1" ht="12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</row>
    <row r="1068" spans="1:85" customHeight="1" ht="12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</row>
    <row r="1069" spans="1:85" customHeight="1" ht="12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</row>
    <row r="1070" spans="1:85" customHeight="1" ht="12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</row>
    <row r="1071" spans="1:85" customHeight="1" ht="12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</row>
    <row r="1072" spans="1:85" customHeight="1" ht="1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</row>
    <row r="1073" spans="1:85" customHeight="1" ht="12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</row>
    <row r="1074" spans="1:85" customHeight="1" ht="12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</row>
    <row r="1075" spans="1:85" customHeight="1" ht="12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</row>
    <row r="1076" spans="1:85" customHeight="1" ht="12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</row>
    <row r="1077" spans="1:85" customHeight="1" ht="12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</row>
    <row r="1078" spans="1:85" customHeight="1" ht="12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</row>
    <row r="1079" spans="1:85" customHeight="1" ht="12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</row>
    <row r="1080" spans="1:85" customHeight="1" ht="12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</row>
    <row r="1081" spans="1:85" customHeight="1" ht="12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</row>
    <row r="1082" spans="1:85" customHeight="1" ht="1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</row>
    <row r="1083" spans="1:85" customHeight="1" ht="12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</row>
    <row r="1084" spans="1:85" customHeight="1" ht="12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</row>
    <row r="1085" spans="1:85" customHeight="1" ht="12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</row>
    <row r="1086" spans="1:85" customHeight="1" ht="12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</row>
    <row r="1087" spans="1:85" customHeight="1" ht="12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</row>
    <row r="1088" spans="1:85" customHeight="1" ht="12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</row>
    <row r="1089" spans="1:85" customHeight="1" ht="12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</row>
    <row r="1090" spans="1:85" customHeight="1" ht="12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</row>
    <row r="1091" spans="1:85" customHeight="1" ht="12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</row>
    <row r="1092" spans="1:85" customHeight="1" ht="1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</row>
    <row r="1093" spans="1:85" customHeight="1" ht="12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</row>
    <row r="1094" spans="1:85" customHeight="1" ht="12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</row>
    <row r="1095" spans="1:85" customHeight="1" ht="12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</row>
    <row r="1096" spans="1:85" customHeight="1" ht="12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</row>
    <row r="1097" spans="1:85" customHeight="1" ht="12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</row>
    <row r="1098" spans="1:85" customHeight="1" ht="12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</row>
    <row r="1099" spans="1:85" customHeight="1" ht="12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</row>
    <row r="1100" spans="1:85" customHeight="1" ht="12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</row>
    <row r="1101" spans="1:85" customHeight="1" ht="12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</row>
    <row r="1102" spans="1:85" customHeight="1" ht="1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</row>
    <row r="1103" spans="1:85" customHeight="1" ht="12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</row>
    <row r="1104" spans="1:85" customHeight="1" ht="12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</row>
    <row r="1105" spans="1:85" customHeight="1" ht="12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</row>
    <row r="1106" spans="1:85" customHeight="1" ht="12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</row>
    <row r="1107" spans="1:85" customHeight="1" ht="12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</row>
    <row r="1108" spans="1:85" customHeight="1" ht="12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</row>
    <row r="1109" spans="1:85" customHeight="1" ht="12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</row>
    <row r="1110" spans="1:85" customHeight="1" ht="12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</row>
    <row r="1111" spans="1:85" customHeight="1" ht="12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</row>
    <row r="1112" spans="1:85" customHeight="1" ht="1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</row>
    <row r="1113" spans="1:85" customHeight="1" ht="12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</row>
    <row r="1114" spans="1:85" customHeight="1" ht="12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</row>
    <row r="1115" spans="1:85" customHeight="1" ht="12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</row>
    <row r="1116" spans="1:85" customHeight="1" ht="12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</row>
    <row r="1117" spans="1:85" customHeight="1" ht="12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</row>
    <row r="1118" spans="1:85" customHeight="1" ht="12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</row>
    <row r="1119" spans="1:85" customHeight="1" ht="12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</row>
    <row r="1120" spans="1:85" customHeight="1" ht="12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</row>
    <row r="1121" spans="1:85" customHeight="1" ht="12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</row>
    <row r="1122" spans="1:85" customHeight="1" ht="12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</row>
    <row r="1123" spans="1:85" customHeight="1" ht="12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</row>
    <row r="1124" spans="1:85" customHeight="1" ht="12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</row>
    <row r="1125" spans="1:85" customHeight="1" ht="12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</row>
    <row r="1126" spans="1:85" customHeight="1" ht="12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</row>
    <row r="1127" spans="1:85" customHeight="1" ht="12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</row>
    <row r="1128" spans="1:85" customHeight="1" ht="12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</row>
    <row r="1129" spans="1:85" customHeight="1" ht="12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</row>
    <row r="1130" spans="1:85" customHeight="1" ht="12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</row>
    <row r="1131" spans="1:85" customHeight="1" ht="12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</row>
    <row r="1132" spans="1:85" customHeight="1" ht="12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</row>
    <row r="1133" spans="1:85" customHeight="1" ht="12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</row>
    <row r="1134" spans="1:85" customHeight="1" ht="12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</row>
    <row r="1135" spans="1:85" customHeight="1" ht="12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</row>
    <row r="1136" spans="1:85" customHeight="1" ht="12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</row>
    <row r="1137" spans="1:85" customHeight="1" ht="12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</row>
    <row r="1138" spans="1:85" customHeight="1" ht="12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</row>
    <row r="1139" spans="1:85" customHeight="1" ht="12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</row>
    <row r="1140" spans="1:85" customHeight="1" ht="12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</row>
    <row r="1141" spans="1:85" customHeight="1" ht="12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</row>
    <row r="1142" spans="1:85" customHeight="1" ht="12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</row>
    <row r="1143" spans="1:85" customHeight="1" ht="12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</row>
    <row r="1144" spans="1:85" customHeight="1" ht="12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</row>
    <row r="1145" spans="1:85" customHeight="1" ht="12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</row>
    <row r="1146" spans="1:85" customHeight="1" ht="12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</row>
    <row r="1147" spans="1:85" customHeight="1" ht="12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</row>
    <row r="1148" spans="1:85" customHeight="1" ht="12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</row>
    <row r="1149" spans="1:85" customHeight="1" ht="12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</row>
    <row r="1150" spans="1:85" customHeight="1" ht="12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</row>
    <row r="1151" spans="1:85" customHeight="1" ht="12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</row>
    <row r="1152" spans="1:85" customHeight="1" ht="12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</row>
    <row r="1153" spans="1:85" customHeight="1" ht="12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</row>
    <row r="1154" spans="1:85" customHeight="1" ht="12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</row>
    <row r="1155" spans="1:85" customHeight="1" ht="12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</row>
    <row r="1156" spans="1:85" customHeight="1" ht="12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</row>
    <row r="1157" spans="1:85" customHeight="1" ht="12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</row>
    <row r="1158" spans="1:85" customHeight="1" ht="12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</row>
    <row r="1159" spans="1:85" customHeight="1" ht="12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</row>
    <row r="1160" spans="1:85" customHeight="1" ht="12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</row>
    <row r="1161" spans="1:85" customHeight="1" ht="12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</row>
    <row r="1162" spans="1:85" customHeight="1" ht="12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</row>
    <row r="1163" spans="1:85" customHeight="1" ht="12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</row>
    <row r="1164" spans="1:85" customHeight="1" ht="12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</row>
    <row r="1165" spans="1:85" customHeight="1" ht="12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</row>
    <row r="1166" spans="1:85" customHeight="1" ht="12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</row>
    <row r="1167" spans="1:85" customHeight="1" ht="12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</row>
    <row r="1168" spans="1:85" customHeight="1" ht="12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</row>
    <row r="1169" spans="1:85" customHeight="1" ht="12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</row>
    <row r="1170" spans="1:85" customHeight="1" ht="12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</row>
    <row r="1171" spans="1:85" customHeight="1" ht="12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</row>
    <row r="1172" spans="1:85" customHeight="1" ht="12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</row>
    <row r="1173" spans="1:85" customHeight="1" ht="12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</row>
    <row r="1174" spans="1:85" customHeight="1" ht="12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</row>
    <row r="1175" spans="1:85" customHeight="1" ht="12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</row>
    <row r="1176" spans="1:85" customHeight="1" ht="12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</row>
    <row r="1177" spans="1:85" customHeight="1" ht="12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</row>
    <row r="1178" spans="1:85" customHeight="1" ht="12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</row>
    <row r="1179" spans="1:85" customHeight="1" ht="12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</row>
    <row r="1180" spans="1:85" customHeight="1" ht="12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</row>
    <row r="1181" spans="1:85" customHeight="1" ht="12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</row>
    <row r="1182" spans="1:85" customHeight="1" ht="12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</row>
    <row r="1183" spans="1:85" customHeight="1" ht="12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</row>
    <row r="1184" spans="1:85" customHeight="1" ht="12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</row>
    <row r="1185" spans="1:85" customHeight="1" ht="12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</row>
    <row r="1186" spans="1:85" customHeight="1" ht="12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</row>
    <row r="1187" spans="1:85" customHeight="1" ht="12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</row>
    <row r="1188" spans="1:85" customHeight="1" ht="12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</row>
    <row r="1189" spans="1:85" customHeight="1" ht="12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</row>
    <row r="1190" spans="1:85" customHeight="1" ht="12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</row>
    <row r="1191" spans="1:85" customHeight="1" ht="12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</row>
    <row r="1192" spans="1:85" customHeight="1" ht="12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</row>
    <row r="1193" spans="1:85" customHeight="1" ht="12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</row>
    <row r="1194" spans="1:85" customHeight="1" ht="12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</row>
    <row r="1195" spans="1:85" customHeight="1" ht="12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</row>
    <row r="1196" spans="1:85" customHeight="1" ht="12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</row>
    <row r="1197" spans="1:85" customHeight="1" ht="12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</row>
    <row r="1198" spans="1:85" customHeight="1" ht="12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</row>
    <row r="1199" spans="1:85" customHeight="1" ht="12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</row>
    <row r="1200" spans="1:85" customHeight="1" ht="12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</row>
    <row r="1201" spans="1:85" customHeight="1" ht="12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</row>
    <row r="1202" spans="1:85" customHeight="1" ht="12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</row>
    <row r="1203" spans="1:85" customHeight="1" ht="12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</row>
    <row r="1204" spans="1:85" customHeight="1" ht="12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</row>
    <row r="1205" spans="1:85" customHeight="1" ht="12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</row>
    <row r="1206" spans="1:85" customHeight="1" ht="12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</row>
    <row r="1207" spans="1:85" customHeight="1" ht="12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</row>
    <row r="1208" spans="1:85" customHeight="1" ht="12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</row>
    <row r="1209" spans="1:85" customHeight="1" ht="12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</row>
    <row r="1210" spans="1:85" customHeight="1" ht="12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</row>
    <row r="1211" spans="1:85" customHeight="1" ht="12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</row>
    <row r="1212" spans="1:85" customHeight="1" ht="12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</row>
    <row r="1213" spans="1:85" customHeight="1" ht="12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</row>
    <row r="1214" spans="1:85" customHeight="1" ht="12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</row>
    <row r="1215" spans="1:85" customHeight="1" ht="12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</row>
    <row r="1216" spans="1:85" customHeight="1" ht="12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</row>
    <row r="1217" spans="1:85" customHeight="1" ht="12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</row>
    <row r="1218" spans="1:85" customHeight="1" ht="12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</row>
    <row r="1219" spans="1:85" customHeight="1" ht="12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</row>
    <row r="1220" spans="1:85" customHeight="1" ht="12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</row>
    <row r="1221" spans="1:85" customHeight="1" ht="12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</row>
    <row r="1222" spans="1:85" customHeight="1" ht="12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</row>
    <row r="1223" spans="1:85" customHeight="1" ht="12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</row>
    <row r="1224" spans="1:85" customHeight="1" ht="12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</row>
    <row r="1225" spans="1:85" customHeight="1" ht="12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</row>
    <row r="1226" spans="1:85" customHeight="1" ht="12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</row>
    <row r="1227" spans="1:85" customHeight="1" ht="12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</row>
    <row r="1228" spans="1:85" customHeight="1" ht="12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</row>
    <row r="1229" spans="1:85" customHeight="1" ht="12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</row>
    <row r="1230" spans="1:85" customHeight="1" ht="12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</row>
    <row r="1231" spans="1:85" customHeight="1" ht="12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</row>
    <row r="1232" spans="1:85" customHeight="1" ht="12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</row>
    <row r="1233" spans="1:85" customHeight="1" ht="12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</row>
    <row r="1234" spans="1:85" customHeight="1" ht="12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</row>
    <row r="1235" spans="1:85" customHeight="1" ht="12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</row>
    <row r="1236" spans="1:85" customHeight="1" ht="12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</row>
    <row r="1237" spans="1:85" customHeight="1" ht="12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</row>
    <row r="1238" spans="1:85" customHeight="1" ht="12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</row>
    <row r="1239" spans="1:85" customHeight="1" ht="12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</row>
    <row r="1240" spans="1:85" customHeight="1" ht="12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</row>
    <row r="1241" spans="1:85" customHeight="1" ht="12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</row>
    <row r="1242" spans="1:85" customHeight="1" ht="12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</row>
    <row r="1243" spans="1:85" customHeight="1" ht="12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</row>
    <row r="1244" spans="1:85" customHeight="1" ht="12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</row>
    <row r="1245" spans="1:85" customHeight="1" ht="12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</row>
    <row r="1246" spans="1:85" customHeight="1" ht="12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</row>
    <row r="1247" spans="1:85" customHeight="1" ht="12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</row>
    <row r="1248" spans="1:85" customHeight="1" ht="12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</row>
    <row r="1249" spans="1:85" customHeight="1" ht="12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</row>
    <row r="1250" spans="1:85" customHeight="1" ht="12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</row>
    <row r="1251" spans="1:85" customHeight="1" ht="12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</row>
    <row r="1252" spans="1:85" customHeight="1" ht="12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</row>
  </sheetData>
  <mergeCells>
    <mergeCell ref="A10:J10"/>
    <mergeCell ref="K10:V10"/>
    <mergeCell ref="K11:V11"/>
    <mergeCell ref="A11:J11"/>
    <mergeCell ref="AD12:AQ12"/>
    <mergeCell ref="F396:R396"/>
    <mergeCell ref="Z396:AN396"/>
    <mergeCell ref="M398:T398"/>
    <mergeCell ref="AB356:AL356"/>
    <mergeCell ref="AB357:AL357"/>
    <mergeCell ref="AB358:AL358"/>
    <mergeCell ref="AB359:AL359"/>
    <mergeCell ref="B365:Q365"/>
    <mergeCell ref="B366:Q366"/>
    <mergeCell ref="B367:Q367"/>
    <mergeCell ref="B368:Q368"/>
    <mergeCell ref="B369:Q369"/>
    <mergeCell ref="B370:Q370"/>
    <mergeCell ref="R365:AC365"/>
    <mergeCell ref="R366:AC366"/>
    <mergeCell ref="R367:AC367"/>
    <mergeCell ref="R368:AC368"/>
    <mergeCell ref="R369:AC369"/>
    <mergeCell ref="R370:AC370"/>
    <mergeCell ref="AD365:AR365"/>
    <mergeCell ref="AD366:AR366"/>
    <mergeCell ref="AD367:AR367"/>
    <mergeCell ref="AD368:AR368"/>
    <mergeCell ref="AD369:AR369"/>
    <mergeCell ref="AD370:AR370"/>
    <mergeCell ref="I350:O350"/>
    <mergeCell ref="P350:W350"/>
    <mergeCell ref="I351:O351"/>
    <mergeCell ref="P351:W351"/>
    <mergeCell ref="I352:O352"/>
    <mergeCell ref="P352:W352"/>
    <mergeCell ref="B356:K356"/>
    <mergeCell ref="B357:K357"/>
    <mergeCell ref="B358:K358"/>
    <mergeCell ref="L356:S356"/>
    <mergeCell ref="L357:S357"/>
    <mergeCell ref="L358:S358"/>
    <mergeCell ref="L359:S359"/>
    <mergeCell ref="T356:AA356"/>
    <mergeCell ref="T357:AA357"/>
    <mergeCell ref="T358:AA358"/>
    <mergeCell ref="T359:AA359"/>
    <mergeCell ref="I339:O339"/>
    <mergeCell ref="P339:W339"/>
    <mergeCell ref="I340:O340"/>
    <mergeCell ref="P340:W340"/>
    <mergeCell ref="I341:O341"/>
    <mergeCell ref="P341:W341"/>
    <mergeCell ref="I342:O342"/>
    <mergeCell ref="P342:W342"/>
    <mergeCell ref="I343:O343"/>
    <mergeCell ref="P343:W343"/>
    <mergeCell ref="I344:O344"/>
    <mergeCell ref="P344:W344"/>
    <mergeCell ref="I345:O345"/>
    <mergeCell ref="P345:W345"/>
    <mergeCell ref="I346:O346"/>
    <mergeCell ref="P346:W346"/>
    <mergeCell ref="I349:O349"/>
    <mergeCell ref="P349:W349"/>
    <mergeCell ref="BG258:BK258"/>
    <mergeCell ref="BL258:BM258"/>
    <mergeCell ref="AQ257:AR257"/>
    <mergeCell ref="AS257:AW257"/>
    <mergeCell ref="AX257:AY257"/>
    <mergeCell ref="AZ257:BD257"/>
    <mergeCell ref="BE257:BF257"/>
    <mergeCell ref="BG257:BK257"/>
    <mergeCell ref="BL257:BM257"/>
    <mergeCell ref="J256:N256"/>
    <mergeCell ref="O256:P256"/>
    <mergeCell ref="Q256:U256"/>
    <mergeCell ref="V256:W256"/>
    <mergeCell ref="X256:AB256"/>
    <mergeCell ref="AC256:AD256"/>
    <mergeCell ref="AE256:AI256"/>
    <mergeCell ref="AJ256:AK256"/>
    <mergeCell ref="AL256:AP256"/>
    <mergeCell ref="AQ256:AR256"/>
    <mergeCell ref="AS256:AW256"/>
    <mergeCell ref="AX256:AY256"/>
    <mergeCell ref="AZ256:BD256"/>
    <mergeCell ref="BE256:BF256"/>
    <mergeCell ref="X258:AB258"/>
    <mergeCell ref="AC258:AD258"/>
    <mergeCell ref="AE258:AI258"/>
    <mergeCell ref="AJ258:AK258"/>
    <mergeCell ref="AL258:AP258"/>
    <mergeCell ref="AQ258:AR258"/>
    <mergeCell ref="AS258:AW258"/>
    <mergeCell ref="AX258:AY258"/>
    <mergeCell ref="AZ258:BD258"/>
    <mergeCell ref="BE258:BF258"/>
    <mergeCell ref="BL255:BM255"/>
    <mergeCell ref="B256:E258"/>
    <mergeCell ref="F256:I256"/>
    <mergeCell ref="AL254:AP254"/>
    <mergeCell ref="AQ254:AR254"/>
    <mergeCell ref="AS254:AW254"/>
    <mergeCell ref="AX254:AY254"/>
    <mergeCell ref="AZ254:BD254"/>
    <mergeCell ref="BE254:BF254"/>
    <mergeCell ref="BG254:BK254"/>
    <mergeCell ref="BL254:BM254"/>
    <mergeCell ref="F255:I255"/>
    <mergeCell ref="J255:N255"/>
    <mergeCell ref="O255:P255"/>
    <mergeCell ref="Q255:U255"/>
    <mergeCell ref="F258:I258"/>
    <mergeCell ref="J258:N258"/>
    <mergeCell ref="O258:P258"/>
    <mergeCell ref="Q258:U258"/>
    <mergeCell ref="V258:W258"/>
    <mergeCell ref="BG256:BK256"/>
    <mergeCell ref="BL256:BM256"/>
    <mergeCell ref="F257:I257"/>
    <mergeCell ref="J257:N257"/>
    <mergeCell ref="O257:P257"/>
    <mergeCell ref="Q257:U257"/>
    <mergeCell ref="V257:W257"/>
    <mergeCell ref="X257:AB257"/>
    <mergeCell ref="AC257:AD257"/>
    <mergeCell ref="AE257:AI257"/>
    <mergeCell ref="AJ257:AK257"/>
    <mergeCell ref="AL257:AP257"/>
    <mergeCell ref="AL253:AP253"/>
    <mergeCell ref="AQ253:AR253"/>
    <mergeCell ref="AS253:AW253"/>
    <mergeCell ref="AX253:AY253"/>
    <mergeCell ref="AZ253:BD253"/>
    <mergeCell ref="V255:W255"/>
    <mergeCell ref="X255:AB255"/>
    <mergeCell ref="AC255:AD255"/>
    <mergeCell ref="AE255:AI255"/>
    <mergeCell ref="AJ255:AK255"/>
    <mergeCell ref="AL255:AP255"/>
    <mergeCell ref="AQ255:AR255"/>
    <mergeCell ref="AS255:AW255"/>
    <mergeCell ref="AX255:AY255"/>
    <mergeCell ref="AZ255:BD255"/>
    <mergeCell ref="BE255:BF255"/>
    <mergeCell ref="BG255:BK255"/>
    <mergeCell ref="F254:I254"/>
    <mergeCell ref="J254:N254"/>
    <mergeCell ref="O254:P254"/>
    <mergeCell ref="Q254:U254"/>
    <mergeCell ref="V254:W254"/>
    <mergeCell ref="X254:AB254"/>
    <mergeCell ref="AC254:AD254"/>
    <mergeCell ref="AE254:AI254"/>
    <mergeCell ref="AJ254:AK254"/>
    <mergeCell ref="J253:N253"/>
    <mergeCell ref="O253:P253"/>
    <mergeCell ref="Q253:U253"/>
    <mergeCell ref="V253:W253"/>
    <mergeCell ref="X253:AB253"/>
    <mergeCell ref="AC253:AD253"/>
    <mergeCell ref="AE253:AI253"/>
    <mergeCell ref="AJ253:AK253"/>
    <mergeCell ref="Q252:U252"/>
    <mergeCell ref="V252:W252"/>
    <mergeCell ref="X252:AB252"/>
    <mergeCell ref="AC252:AD252"/>
    <mergeCell ref="AE252:AI252"/>
    <mergeCell ref="AJ252:AK252"/>
    <mergeCell ref="AL252:AP252"/>
    <mergeCell ref="AQ252:AR252"/>
    <mergeCell ref="AS252:AW252"/>
    <mergeCell ref="AX252:AY252"/>
    <mergeCell ref="AZ252:BD252"/>
    <mergeCell ref="BE252:BF252"/>
    <mergeCell ref="BG252:BK252"/>
    <mergeCell ref="BL252:BM252"/>
    <mergeCell ref="B253:E255"/>
    <mergeCell ref="F253:I253"/>
    <mergeCell ref="AJ251:AK251"/>
    <mergeCell ref="AL251:AP251"/>
    <mergeCell ref="AQ251:AR251"/>
    <mergeCell ref="AS251:AW251"/>
    <mergeCell ref="AX251:AY251"/>
    <mergeCell ref="AZ251:BD251"/>
    <mergeCell ref="BE251:BF251"/>
    <mergeCell ref="BG251:BK251"/>
    <mergeCell ref="BL251:BM251"/>
    <mergeCell ref="F252:I252"/>
    <mergeCell ref="J252:N252"/>
    <mergeCell ref="O252:P252"/>
    <mergeCell ref="B250:E252"/>
    <mergeCell ref="BE253:BF253"/>
    <mergeCell ref="BG253:BK253"/>
    <mergeCell ref="BL253:BM253"/>
    <mergeCell ref="AZ250:BD250"/>
    <mergeCell ref="BE250:BF250"/>
    <mergeCell ref="BG250:BK250"/>
    <mergeCell ref="BL250:BM250"/>
    <mergeCell ref="F251:I251"/>
    <mergeCell ref="J251:N251"/>
    <mergeCell ref="O251:P251"/>
    <mergeCell ref="Q251:U251"/>
    <mergeCell ref="V251:W251"/>
    <mergeCell ref="X251:AB251"/>
    <mergeCell ref="AC251:AD251"/>
    <mergeCell ref="AE251:AI251"/>
    <mergeCell ref="J250:N250"/>
    <mergeCell ref="O250:P250"/>
    <mergeCell ref="Q250:U250"/>
    <mergeCell ref="V250:W250"/>
    <mergeCell ref="X250:AB250"/>
    <mergeCell ref="AC250:AD250"/>
    <mergeCell ref="AE250:AI250"/>
    <mergeCell ref="AJ250:AK250"/>
    <mergeCell ref="AL250:AP250"/>
    <mergeCell ref="AQ250:AR250"/>
    <mergeCell ref="AS250:AW250"/>
    <mergeCell ref="AX250:AY250"/>
    <mergeCell ref="F250:I250"/>
    <mergeCell ref="B247:E249"/>
    <mergeCell ref="F247:I247"/>
    <mergeCell ref="J247:N247"/>
    <mergeCell ref="O247:P247"/>
    <mergeCell ref="Q247:U247"/>
    <mergeCell ref="V247:W247"/>
    <mergeCell ref="X247:AB247"/>
    <mergeCell ref="AC247:AD247"/>
    <mergeCell ref="AE247:AI247"/>
    <mergeCell ref="AJ247:AK247"/>
    <mergeCell ref="AL247:AP247"/>
    <mergeCell ref="J246:N246"/>
    <mergeCell ref="O246:P246"/>
    <mergeCell ref="Q246:U246"/>
    <mergeCell ref="V246:W246"/>
    <mergeCell ref="X246:AB246"/>
    <mergeCell ref="AC246:AD246"/>
    <mergeCell ref="AE246:AI246"/>
    <mergeCell ref="J249:N249"/>
    <mergeCell ref="O249:P249"/>
    <mergeCell ref="Q249:U249"/>
    <mergeCell ref="V249:W249"/>
    <mergeCell ref="X249:AB249"/>
    <mergeCell ref="AC249:AD249"/>
    <mergeCell ref="AE249:AI249"/>
    <mergeCell ref="AJ249:AK249"/>
    <mergeCell ref="AL249:AP249"/>
    <mergeCell ref="X248:AB248"/>
    <mergeCell ref="AC248:AD248"/>
    <mergeCell ref="AE248:AI248"/>
    <mergeCell ref="AJ248:AK248"/>
    <mergeCell ref="AL248:AP248"/>
    <mergeCell ref="AX245:AY245"/>
    <mergeCell ref="AZ245:BD245"/>
    <mergeCell ref="BE245:BF245"/>
    <mergeCell ref="BG245:BK245"/>
    <mergeCell ref="F249:I249"/>
    <mergeCell ref="AQ247:AR247"/>
    <mergeCell ref="AS247:AW247"/>
    <mergeCell ref="AX247:AY247"/>
    <mergeCell ref="AZ247:BD247"/>
    <mergeCell ref="BE247:BF247"/>
    <mergeCell ref="BG247:BK247"/>
    <mergeCell ref="BL247:BM247"/>
    <mergeCell ref="F248:I248"/>
    <mergeCell ref="J248:N248"/>
    <mergeCell ref="O248:P248"/>
    <mergeCell ref="Q248:U248"/>
    <mergeCell ref="V248:W248"/>
    <mergeCell ref="BL246:BM246"/>
    <mergeCell ref="AQ249:AR249"/>
    <mergeCell ref="AS249:AW249"/>
    <mergeCell ref="AX249:AY249"/>
    <mergeCell ref="AZ249:BD249"/>
    <mergeCell ref="BE249:BF249"/>
    <mergeCell ref="BG249:BK249"/>
    <mergeCell ref="BL249:BM249"/>
    <mergeCell ref="AQ248:AR248"/>
    <mergeCell ref="AS248:AW248"/>
    <mergeCell ref="AX248:AY248"/>
    <mergeCell ref="AZ248:BD248"/>
    <mergeCell ref="BE248:BF248"/>
    <mergeCell ref="BG248:BK248"/>
    <mergeCell ref="BL248:BM248"/>
    <mergeCell ref="B244:E246"/>
    <mergeCell ref="F244:I244"/>
    <mergeCell ref="J244:N244"/>
    <mergeCell ref="O244:P244"/>
    <mergeCell ref="Q244:U244"/>
    <mergeCell ref="V244:W244"/>
    <mergeCell ref="X244:AB244"/>
    <mergeCell ref="AC244:AD244"/>
    <mergeCell ref="AE244:AI244"/>
    <mergeCell ref="AJ244:AK244"/>
    <mergeCell ref="J243:N243"/>
    <mergeCell ref="O243:P243"/>
    <mergeCell ref="Q243:U243"/>
    <mergeCell ref="V243:W243"/>
    <mergeCell ref="X243:AB243"/>
    <mergeCell ref="AC243:AD243"/>
    <mergeCell ref="AJ246:AK246"/>
    <mergeCell ref="V245:W245"/>
    <mergeCell ref="X245:AB245"/>
    <mergeCell ref="AC245:AD245"/>
    <mergeCell ref="AE245:AI245"/>
    <mergeCell ref="AJ245:AK245"/>
    <mergeCell ref="B241:E243"/>
    <mergeCell ref="F241:I241"/>
    <mergeCell ref="J241:N241"/>
    <mergeCell ref="O241:P241"/>
    <mergeCell ref="Q241:U241"/>
    <mergeCell ref="V241:W241"/>
    <mergeCell ref="X241:AB241"/>
    <mergeCell ref="AC241:AD241"/>
    <mergeCell ref="AE241:AI241"/>
    <mergeCell ref="AL242:AP242"/>
    <mergeCell ref="AQ242:AR242"/>
    <mergeCell ref="AS242:AW242"/>
    <mergeCell ref="AX242:AY242"/>
    <mergeCell ref="AZ242:BD242"/>
    <mergeCell ref="BE242:BF242"/>
    <mergeCell ref="BL245:BM245"/>
    <mergeCell ref="F246:I246"/>
    <mergeCell ref="AL244:AP244"/>
    <mergeCell ref="AQ244:AR244"/>
    <mergeCell ref="AS244:AW244"/>
    <mergeCell ref="AX244:AY244"/>
    <mergeCell ref="AZ244:BD244"/>
    <mergeCell ref="BE244:BF244"/>
    <mergeCell ref="BG244:BK244"/>
    <mergeCell ref="BL244:BM244"/>
    <mergeCell ref="F245:I245"/>
    <mergeCell ref="J245:N245"/>
    <mergeCell ref="O245:P245"/>
    <mergeCell ref="Q245:U245"/>
    <mergeCell ref="BG243:BK243"/>
    <mergeCell ref="BL243:BM243"/>
    <mergeCell ref="AL246:AP246"/>
    <mergeCell ref="AQ246:AR246"/>
    <mergeCell ref="AS246:AW246"/>
    <mergeCell ref="AX246:AY246"/>
    <mergeCell ref="AZ246:BD246"/>
    <mergeCell ref="BE246:BF246"/>
    <mergeCell ref="BG246:BK246"/>
    <mergeCell ref="AL245:AP245"/>
    <mergeCell ref="AQ245:AR245"/>
    <mergeCell ref="AS245:AW245"/>
    <mergeCell ref="BG242:BK242"/>
    <mergeCell ref="BL242:BM242"/>
    <mergeCell ref="F243:I243"/>
    <mergeCell ref="AJ241:AK241"/>
    <mergeCell ref="AL241:AP241"/>
    <mergeCell ref="AQ241:AR241"/>
    <mergeCell ref="AS241:AW241"/>
    <mergeCell ref="AX241:AY241"/>
    <mergeCell ref="AZ241:BD241"/>
    <mergeCell ref="BE241:BF241"/>
    <mergeCell ref="BG241:BK241"/>
    <mergeCell ref="BL241:BM241"/>
    <mergeCell ref="F242:I242"/>
    <mergeCell ref="J242:N242"/>
    <mergeCell ref="O242:P242"/>
    <mergeCell ref="BE240:BF240"/>
    <mergeCell ref="BG240:BK240"/>
    <mergeCell ref="BL240:BM240"/>
    <mergeCell ref="AL240:AP240"/>
    <mergeCell ref="AQ240:AR240"/>
    <mergeCell ref="AS240:AW240"/>
    <mergeCell ref="AX240:AY240"/>
    <mergeCell ref="AZ240:BD240"/>
    <mergeCell ref="AE243:AI243"/>
    <mergeCell ref="AJ243:AK243"/>
    <mergeCell ref="AL243:AP243"/>
    <mergeCell ref="AQ243:AR243"/>
    <mergeCell ref="AS243:AW243"/>
    <mergeCell ref="AX243:AY243"/>
    <mergeCell ref="AZ243:BD243"/>
    <mergeCell ref="BE243:BF243"/>
    <mergeCell ref="Q242:U242"/>
    <mergeCell ref="J240:N240"/>
    <mergeCell ref="O240:P240"/>
    <mergeCell ref="Q240:U240"/>
    <mergeCell ref="V240:W240"/>
    <mergeCell ref="X240:AB240"/>
    <mergeCell ref="AC240:AD240"/>
    <mergeCell ref="AE240:AI240"/>
    <mergeCell ref="AJ240:AK240"/>
    <mergeCell ref="F240:I240"/>
    <mergeCell ref="V242:W242"/>
    <mergeCell ref="X242:AB242"/>
    <mergeCell ref="AC242:AD242"/>
    <mergeCell ref="AE242:AI242"/>
    <mergeCell ref="AJ242:AK242"/>
    <mergeCell ref="J239:N239"/>
    <mergeCell ref="O239:P239"/>
    <mergeCell ref="Q239:U239"/>
    <mergeCell ref="V239:W239"/>
    <mergeCell ref="X239:AB239"/>
    <mergeCell ref="AC239:AD239"/>
    <mergeCell ref="AE239:AI239"/>
    <mergeCell ref="AJ239:AK239"/>
    <mergeCell ref="F239:I239"/>
    <mergeCell ref="AL239:AP239"/>
    <mergeCell ref="AQ239:AR239"/>
    <mergeCell ref="AS239:AW239"/>
    <mergeCell ref="AX239:AY239"/>
    <mergeCell ref="AZ239:BD239"/>
    <mergeCell ref="BE239:BF239"/>
    <mergeCell ref="BG239:BK239"/>
    <mergeCell ref="BL239:BM239"/>
    <mergeCell ref="X238:AB238"/>
    <mergeCell ref="AC238:AD238"/>
    <mergeCell ref="AE238:AI238"/>
    <mergeCell ref="AJ238:AK238"/>
    <mergeCell ref="AL238:AP238"/>
    <mergeCell ref="AQ238:AR238"/>
    <mergeCell ref="AS238:AW238"/>
    <mergeCell ref="AX238:AY238"/>
    <mergeCell ref="AZ238:BD238"/>
    <mergeCell ref="BE238:BF238"/>
    <mergeCell ref="BG238:BK238"/>
    <mergeCell ref="BL238:BM238"/>
    <mergeCell ref="AS237:AW237"/>
    <mergeCell ref="AX237:AY237"/>
    <mergeCell ref="AZ237:BD237"/>
    <mergeCell ref="BE237:BF237"/>
    <mergeCell ref="BG237:BK237"/>
    <mergeCell ref="BL237:BM237"/>
    <mergeCell ref="B238:E240"/>
    <mergeCell ref="F238:I238"/>
    <mergeCell ref="J238:N238"/>
    <mergeCell ref="O238:P238"/>
    <mergeCell ref="Q238:U238"/>
    <mergeCell ref="V238:W238"/>
    <mergeCell ref="BL236:BM236"/>
    <mergeCell ref="F237:I237"/>
    <mergeCell ref="J237:N237"/>
    <mergeCell ref="O237:P237"/>
    <mergeCell ref="Q237:U237"/>
    <mergeCell ref="V237:W237"/>
    <mergeCell ref="X237:AB237"/>
    <mergeCell ref="AC237:AD237"/>
    <mergeCell ref="AE237:AI237"/>
    <mergeCell ref="AJ237:AK237"/>
    <mergeCell ref="AL237:AP237"/>
    <mergeCell ref="AQ237:AR237"/>
    <mergeCell ref="J236:N236"/>
    <mergeCell ref="O236:P236"/>
    <mergeCell ref="Q236:U236"/>
    <mergeCell ref="V236:W236"/>
    <mergeCell ref="X236:AB236"/>
    <mergeCell ref="AC236:AD236"/>
    <mergeCell ref="AE236:AI236"/>
    <mergeCell ref="AJ236:AK236"/>
    <mergeCell ref="AL236:AP236"/>
    <mergeCell ref="AQ236:AR236"/>
    <mergeCell ref="AS236:AW236"/>
    <mergeCell ref="AX236:AY236"/>
    <mergeCell ref="AZ236:BD236"/>
    <mergeCell ref="BE236:BF236"/>
    <mergeCell ref="BG236:BK236"/>
    <mergeCell ref="V235:W235"/>
    <mergeCell ref="X235:AB235"/>
    <mergeCell ref="AC235:AD235"/>
    <mergeCell ref="AE235:AI235"/>
    <mergeCell ref="AJ235:AK235"/>
    <mergeCell ref="AL235:AP235"/>
    <mergeCell ref="AQ235:AR235"/>
    <mergeCell ref="AS235:AW235"/>
    <mergeCell ref="AX235:AY235"/>
    <mergeCell ref="AZ235:BD235"/>
    <mergeCell ref="BE235:BF235"/>
    <mergeCell ref="BG235:BK235"/>
    <mergeCell ref="BL235:BM235"/>
    <mergeCell ref="F236:I236"/>
    <mergeCell ref="AQ234:AR234"/>
    <mergeCell ref="AS234:AW234"/>
    <mergeCell ref="AX234:AY234"/>
    <mergeCell ref="AZ234:BD234"/>
    <mergeCell ref="BE234:BF234"/>
    <mergeCell ref="BG234:BK234"/>
    <mergeCell ref="BL234:BM234"/>
    <mergeCell ref="B235:E237"/>
    <mergeCell ref="F235:I235"/>
    <mergeCell ref="J235:N235"/>
    <mergeCell ref="O235:P235"/>
    <mergeCell ref="Q235:U235"/>
    <mergeCell ref="BG233:BK233"/>
    <mergeCell ref="BL233:BM233"/>
    <mergeCell ref="F234:I234"/>
    <mergeCell ref="J234:N234"/>
    <mergeCell ref="O234:P234"/>
    <mergeCell ref="Q234:U234"/>
    <mergeCell ref="V234:W234"/>
    <mergeCell ref="X234:AB234"/>
    <mergeCell ref="AC234:AD234"/>
    <mergeCell ref="AE234:AI234"/>
    <mergeCell ref="AJ234:AK234"/>
    <mergeCell ref="AL234:AP234"/>
    <mergeCell ref="J233:N233"/>
    <mergeCell ref="O233:P233"/>
    <mergeCell ref="Q233:U233"/>
    <mergeCell ref="V233:W233"/>
    <mergeCell ref="X233:AB233"/>
    <mergeCell ref="AC233:AD233"/>
    <mergeCell ref="AE233:AI233"/>
    <mergeCell ref="AJ233:AK233"/>
    <mergeCell ref="AL233:AP233"/>
    <mergeCell ref="AQ233:AR233"/>
    <mergeCell ref="AS233:AW233"/>
    <mergeCell ref="AX233:AY233"/>
    <mergeCell ref="AZ233:BD233"/>
    <mergeCell ref="BE233:BF233"/>
    <mergeCell ref="Q232:U232"/>
    <mergeCell ref="V232:W232"/>
    <mergeCell ref="X232:AB232"/>
    <mergeCell ref="AC232:AD232"/>
    <mergeCell ref="AE232:AI232"/>
    <mergeCell ref="AJ232:AK232"/>
    <mergeCell ref="AL232:AP232"/>
    <mergeCell ref="AQ232:AR232"/>
    <mergeCell ref="AS232:AW232"/>
    <mergeCell ref="AX232:AY232"/>
    <mergeCell ref="AZ232:BD232"/>
    <mergeCell ref="BE232:BF232"/>
    <mergeCell ref="BG232:BK232"/>
    <mergeCell ref="BL232:BM232"/>
    <mergeCell ref="F233:I233"/>
    <mergeCell ref="AL231:AP231"/>
    <mergeCell ref="AQ231:AR231"/>
    <mergeCell ref="AS231:AW231"/>
    <mergeCell ref="AX231:AY231"/>
    <mergeCell ref="AZ231:BD231"/>
    <mergeCell ref="BE231:BF231"/>
    <mergeCell ref="BG231:BK231"/>
    <mergeCell ref="BL231:BM231"/>
    <mergeCell ref="B232:E234"/>
    <mergeCell ref="F232:I232"/>
    <mergeCell ref="J232:N232"/>
    <mergeCell ref="O232:P232"/>
    <mergeCell ref="BE230:BF230"/>
    <mergeCell ref="BG230:BK230"/>
    <mergeCell ref="BL230:BM230"/>
    <mergeCell ref="F231:I231"/>
    <mergeCell ref="J231:N231"/>
    <mergeCell ref="O231:P231"/>
    <mergeCell ref="Q231:U231"/>
    <mergeCell ref="V231:W231"/>
    <mergeCell ref="X231:AB231"/>
    <mergeCell ref="AC231:AD231"/>
    <mergeCell ref="AE231:AI231"/>
    <mergeCell ref="AJ231:AK231"/>
    <mergeCell ref="J230:N230"/>
    <mergeCell ref="O230:P230"/>
    <mergeCell ref="Q230:U230"/>
    <mergeCell ref="V230:W230"/>
    <mergeCell ref="X230:AB230"/>
    <mergeCell ref="AC230:AD230"/>
    <mergeCell ref="AE230:AI230"/>
    <mergeCell ref="AJ230:AK230"/>
    <mergeCell ref="AL230:AP230"/>
    <mergeCell ref="AQ230:AR230"/>
    <mergeCell ref="AS230:AW230"/>
    <mergeCell ref="AX230:AY230"/>
    <mergeCell ref="AZ230:BD230"/>
    <mergeCell ref="F230:I230"/>
    <mergeCell ref="J229:N229"/>
    <mergeCell ref="O229:P229"/>
    <mergeCell ref="Q229:U229"/>
    <mergeCell ref="V229:W229"/>
    <mergeCell ref="X229:AB229"/>
    <mergeCell ref="AC229:AD229"/>
    <mergeCell ref="AE229:AI229"/>
    <mergeCell ref="AJ229:AK229"/>
    <mergeCell ref="AL229:AP229"/>
    <mergeCell ref="AQ229:AR229"/>
    <mergeCell ref="AS229:AW229"/>
    <mergeCell ref="AX229:AY229"/>
    <mergeCell ref="AZ229:BD229"/>
    <mergeCell ref="BE229:BF229"/>
    <mergeCell ref="BG229:BK229"/>
    <mergeCell ref="BL229:BM229"/>
    <mergeCell ref="AC227:AD228"/>
    <mergeCell ref="AE227:AI228"/>
    <mergeCell ref="AJ227:AK228"/>
    <mergeCell ref="AL227:AP228"/>
    <mergeCell ref="AQ227:AR228"/>
    <mergeCell ref="AS227:AW228"/>
    <mergeCell ref="AX227:AY228"/>
    <mergeCell ref="AZ227:BD228"/>
    <mergeCell ref="BE227:BF228"/>
    <mergeCell ref="BG227:BK228"/>
    <mergeCell ref="BL227:BM228"/>
    <mergeCell ref="B229:E231"/>
    <mergeCell ref="F229:I229"/>
    <mergeCell ref="J227:N228"/>
    <mergeCell ref="O227:P228"/>
    <mergeCell ref="Q227:U228"/>
    <mergeCell ref="V227:W228"/>
    <mergeCell ref="X227:AB228"/>
    <mergeCell ref="B225:E228"/>
    <mergeCell ref="F225:I228"/>
    <mergeCell ref="J225:AK225"/>
    <mergeCell ref="AL225:BM225"/>
    <mergeCell ref="J226:P226"/>
    <mergeCell ref="Q226:W226"/>
    <mergeCell ref="X226:AD226"/>
    <mergeCell ref="AE226:AK226"/>
    <mergeCell ref="AL226:AR226"/>
    <mergeCell ref="AS226:AY226"/>
    <mergeCell ref="AZ226:BF226"/>
    <mergeCell ref="BG226:BM226"/>
    <mergeCell ref="AA380:AQ380"/>
    <mergeCell ref="W380:Z380"/>
    <mergeCell ref="N380:V380"/>
    <mergeCell ref="A380:M380"/>
    <mergeCell ref="AA379:AQ379"/>
    <mergeCell ref="W379:Z379"/>
    <mergeCell ref="N379:V379"/>
    <mergeCell ref="A379:M379"/>
    <mergeCell ref="A386:AQ386"/>
    <mergeCell ref="A385:AQ385"/>
    <mergeCell ref="W383:AQ383"/>
    <mergeCell ref="A383:V383"/>
    <mergeCell ref="W382:AQ382"/>
    <mergeCell ref="A382:V382"/>
    <mergeCell ref="A399:AQ399"/>
    <mergeCell ref="W397:AQ397"/>
    <mergeCell ref="A397:V397"/>
    <mergeCell ref="W394:AQ394"/>
    <mergeCell ref="A394:V394"/>
    <mergeCell ref="B355:K355"/>
    <mergeCell ref="L355:S355"/>
    <mergeCell ref="T355:AA355"/>
    <mergeCell ref="AB355:AL355"/>
    <mergeCell ref="B359:K359"/>
    <mergeCell ref="C330:S330"/>
    <mergeCell ref="B363:Q363"/>
    <mergeCell ref="R363:AC363"/>
    <mergeCell ref="AD363:AR363"/>
    <mergeCell ref="C331:S331"/>
    <mergeCell ref="C332:S332"/>
    <mergeCell ref="T330:V330"/>
    <mergeCell ref="W12:AC12"/>
    <mergeCell ref="B15:AQ15"/>
    <mergeCell ref="B51:AQ51"/>
    <mergeCell ref="B85:AQ85"/>
    <mergeCell ref="J221:N221"/>
    <mergeCell ref="O221:P221"/>
    <mergeCell ref="Q221:U221"/>
    <mergeCell ref="V221:W221"/>
    <mergeCell ref="X221:AB221"/>
    <mergeCell ref="AC218:AD218"/>
    <mergeCell ref="AE218:AI218"/>
    <mergeCell ref="AJ218:AK218"/>
    <mergeCell ref="AL218:AP218"/>
    <mergeCell ref="AQ218:AR218"/>
    <mergeCell ref="AC215:AD215"/>
    <mergeCell ref="AE215:AI215"/>
    <mergeCell ref="AJ215:AK215"/>
    <mergeCell ref="AL215:AP215"/>
    <mergeCell ref="X215:AB215"/>
    <mergeCell ref="AQ215:AR215"/>
    <mergeCell ref="X212:AB212"/>
    <mergeCell ref="AC212:AD212"/>
    <mergeCell ref="AE212:AI212"/>
    <mergeCell ref="AJ212:AK212"/>
    <mergeCell ref="AL212:AP212"/>
    <mergeCell ref="AQ212:AR212"/>
    <mergeCell ref="X209:AB209"/>
    <mergeCell ref="AC209:AD209"/>
    <mergeCell ref="AE209:AI209"/>
    <mergeCell ref="AJ209:AK209"/>
    <mergeCell ref="V218:W218"/>
    <mergeCell ref="X218:AB218"/>
    <mergeCell ref="BN222:BR222"/>
    <mergeCell ref="BS222:BT222"/>
    <mergeCell ref="BU222:BY222"/>
    <mergeCell ref="BZ222:CA222"/>
    <mergeCell ref="B260:S260"/>
    <mergeCell ref="AC221:AD221"/>
    <mergeCell ref="AE221:AI221"/>
    <mergeCell ref="AJ221:AK221"/>
    <mergeCell ref="AL221:AP221"/>
    <mergeCell ref="AQ221:AR221"/>
    <mergeCell ref="AS221:AW221"/>
    <mergeCell ref="AX221:AY221"/>
    <mergeCell ref="AZ221:BD221"/>
    <mergeCell ref="BE221:BF221"/>
    <mergeCell ref="BG221:BK221"/>
    <mergeCell ref="BL221:BM221"/>
    <mergeCell ref="BN221:BR221"/>
    <mergeCell ref="BS221:BT221"/>
    <mergeCell ref="BU221:BY221"/>
    <mergeCell ref="BZ221:CA221"/>
    <mergeCell ref="F222:I222"/>
    <mergeCell ref="J222:N222"/>
    <mergeCell ref="O222:P222"/>
    <mergeCell ref="Q222:U222"/>
    <mergeCell ref="V222:W222"/>
    <mergeCell ref="X222:AB222"/>
    <mergeCell ref="AC222:AD222"/>
    <mergeCell ref="AE222:AI222"/>
    <mergeCell ref="AJ222:AK222"/>
    <mergeCell ref="AL222:AP222"/>
    <mergeCell ref="AQ222:AR222"/>
    <mergeCell ref="AS222:AW222"/>
    <mergeCell ref="AX222:AY222"/>
    <mergeCell ref="AZ222:BD222"/>
    <mergeCell ref="BE222:BF222"/>
    <mergeCell ref="BG222:BK222"/>
    <mergeCell ref="BL222:BM222"/>
    <mergeCell ref="BN219:BR219"/>
    <mergeCell ref="BS219:BT219"/>
    <mergeCell ref="BU219:BY219"/>
    <mergeCell ref="BZ219:CA219"/>
    <mergeCell ref="B220:E222"/>
    <mergeCell ref="F220:I220"/>
    <mergeCell ref="J220:N220"/>
    <mergeCell ref="O220:P220"/>
    <mergeCell ref="Q220:U220"/>
    <mergeCell ref="V220:W220"/>
    <mergeCell ref="X220:AB220"/>
    <mergeCell ref="AC220:AD220"/>
    <mergeCell ref="AE220:AI220"/>
    <mergeCell ref="AJ220:AK220"/>
    <mergeCell ref="AL220:AP220"/>
    <mergeCell ref="AQ220:AR220"/>
    <mergeCell ref="AS220:AW220"/>
    <mergeCell ref="AX220:AY220"/>
    <mergeCell ref="AZ220:BD220"/>
    <mergeCell ref="BE220:BF220"/>
    <mergeCell ref="BG220:BK220"/>
    <mergeCell ref="BL220:BM220"/>
    <mergeCell ref="BN220:BR220"/>
    <mergeCell ref="BS220:BT220"/>
    <mergeCell ref="BU220:BY220"/>
    <mergeCell ref="BZ220:CA220"/>
    <mergeCell ref="F221:I221"/>
    <mergeCell ref="AS218:AW218"/>
    <mergeCell ref="AX218:AY218"/>
    <mergeCell ref="AZ218:BD218"/>
    <mergeCell ref="BE218:BF218"/>
    <mergeCell ref="BG218:BK218"/>
    <mergeCell ref="BL218:BM218"/>
    <mergeCell ref="BN218:BR218"/>
    <mergeCell ref="BS218:BT218"/>
    <mergeCell ref="BU218:BY218"/>
    <mergeCell ref="BZ218:CA218"/>
    <mergeCell ref="F219:I219"/>
    <mergeCell ref="J219:N219"/>
    <mergeCell ref="O219:P219"/>
    <mergeCell ref="Q219:U219"/>
    <mergeCell ref="V219:W219"/>
    <mergeCell ref="X219:AB219"/>
    <mergeCell ref="AC219:AD219"/>
    <mergeCell ref="AE219:AI219"/>
    <mergeCell ref="AJ219:AK219"/>
    <mergeCell ref="AL219:AP219"/>
    <mergeCell ref="AQ219:AR219"/>
    <mergeCell ref="AS219:AW219"/>
    <mergeCell ref="AX219:AY219"/>
    <mergeCell ref="AZ219:BD219"/>
    <mergeCell ref="BE219:BF219"/>
    <mergeCell ref="BG219:BK219"/>
    <mergeCell ref="BL219:BM219"/>
    <mergeCell ref="BG216:BK216"/>
    <mergeCell ref="BL216:BM216"/>
    <mergeCell ref="BN216:BR216"/>
    <mergeCell ref="BS216:BT216"/>
    <mergeCell ref="BU216:BY216"/>
    <mergeCell ref="BZ216:CA216"/>
    <mergeCell ref="B217:E219"/>
    <mergeCell ref="F217:I217"/>
    <mergeCell ref="J217:N217"/>
    <mergeCell ref="O217:P217"/>
    <mergeCell ref="Q217:U217"/>
    <mergeCell ref="V217:W217"/>
    <mergeCell ref="X217:AB217"/>
    <mergeCell ref="AC217:AD217"/>
    <mergeCell ref="AE217:AI217"/>
    <mergeCell ref="AJ217:AK217"/>
    <mergeCell ref="AL217:AP217"/>
    <mergeCell ref="AQ217:AR217"/>
    <mergeCell ref="AS217:AW217"/>
    <mergeCell ref="AX217:AY217"/>
    <mergeCell ref="AZ217:BD217"/>
    <mergeCell ref="BE217:BF217"/>
    <mergeCell ref="BG217:BK217"/>
    <mergeCell ref="BL217:BM217"/>
    <mergeCell ref="BN217:BR217"/>
    <mergeCell ref="BS217:BT217"/>
    <mergeCell ref="BU217:BY217"/>
    <mergeCell ref="BZ217:CA217"/>
    <mergeCell ref="F218:I218"/>
    <mergeCell ref="J218:N218"/>
    <mergeCell ref="O218:P218"/>
    <mergeCell ref="Q218:U218"/>
    <mergeCell ref="BL214:BM214"/>
    <mergeCell ref="BN214:BR214"/>
    <mergeCell ref="BS214:BT214"/>
    <mergeCell ref="BU214:BY214"/>
    <mergeCell ref="BZ214:CA214"/>
    <mergeCell ref="F215:I215"/>
    <mergeCell ref="J215:N215"/>
    <mergeCell ref="O215:P215"/>
    <mergeCell ref="Q215:U215"/>
    <mergeCell ref="V215:W215"/>
    <mergeCell ref="AS215:AW215"/>
    <mergeCell ref="AX215:AY215"/>
    <mergeCell ref="AZ215:BD215"/>
    <mergeCell ref="BE215:BF215"/>
    <mergeCell ref="BG215:BK215"/>
    <mergeCell ref="BL215:BM215"/>
    <mergeCell ref="BN215:BR215"/>
    <mergeCell ref="BS215:BT215"/>
    <mergeCell ref="BU215:BY215"/>
    <mergeCell ref="BZ215:CA215"/>
    <mergeCell ref="B214:E216"/>
    <mergeCell ref="F214:I214"/>
    <mergeCell ref="J214:N214"/>
    <mergeCell ref="O214:P214"/>
    <mergeCell ref="Q214:U214"/>
    <mergeCell ref="V214:W214"/>
    <mergeCell ref="X214:AB214"/>
    <mergeCell ref="AC214:AD214"/>
    <mergeCell ref="AE214:AI214"/>
    <mergeCell ref="AJ214:AK214"/>
    <mergeCell ref="AL214:AP214"/>
    <mergeCell ref="AQ214:AR214"/>
    <mergeCell ref="AS214:AW214"/>
    <mergeCell ref="AX214:AY214"/>
    <mergeCell ref="AZ214:BD214"/>
    <mergeCell ref="BE214:BF214"/>
    <mergeCell ref="BG214:BK214"/>
    <mergeCell ref="F216:I216"/>
    <mergeCell ref="J216:N216"/>
    <mergeCell ref="O216:P216"/>
    <mergeCell ref="Q216:U216"/>
    <mergeCell ref="V216:W216"/>
    <mergeCell ref="X216:AB216"/>
    <mergeCell ref="AC216:AD216"/>
    <mergeCell ref="AE216:AI216"/>
    <mergeCell ref="AJ216:AK216"/>
    <mergeCell ref="AL216:AP216"/>
    <mergeCell ref="AQ216:AR216"/>
    <mergeCell ref="AS216:AW216"/>
    <mergeCell ref="AX216:AY216"/>
    <mergeCell ref="AZ216:BD216"/>
    <mergeCell ref="BE216:BF216"/>
    <mergeCell ref="BG212:BK212"/>
    <mergeCell ref="BL212:BM212"/>
    <mergeCell ref="BN212:BR212"/>
    <mergeCell ref="BS212:BT212"/>
    <mergeCell ref="BU212:BY212"/>
    <mergeCell ref="BZ212:CA212"/>
    <mergeCell ref="F213:I213"/>
    <mergeCell ref="J213:N213"/>
    <mergeCell ref="O213:P213"/>
    <mergeCell ref="Q213:U213"/>
    <mergeCell ref="V213:W213"/>
    <mergeCell ref="X213:AB213"/>
    <mergeCell ref="AC213:AD213"/>
    <mergeCell ref="AE213:AI213"/>
    <mergeCell ref="AJ213:AK213"/>
    <mergeCell ref="AL213:AP213"/>
    <mergeCell ref="AQ213:AR213"/>
    <mergeCell ref="AS213:AW213"/>
    <mergeCell ref="AX213:AY213"/>
    <mergeCell ref="AZ213:BD213"/>
    <mergeCell ref="BE213:BF213"/>
    <mergeCell ref="BG213:BK213"/>
    <mergeCell ref="BL213:BM213"/>
    <mergeCell ref="BN213:BR213"/>
    <mergeCell ref="BS213:BT213"/>
    <mergeCell ref="BU213:BY213"/>
    <mergeCell ref="BZ213:CA213"/>
    <mergeCell ref="BZ210:CA210"/>
    <mergeCell ref="B211:E213"/>
    <mergeCell ref="F211:I211"/>
    <mergeCell ref="J211:N211"/>
    <mergeCell ref="O211:P211"/>
    <mergeCell ref="Q211:U211"/>
    <mergeCell ref="V211:W211"/>
    <mergeCell ref="X211:AB211"/>
    <mergeCell ref="AC211:AD211"/>
    <mergeCell ref="AE211:AI211"/>
    <mergeCell ref="AJ211:AK211"/>
    <mergeCell ref="AL211:AP211"/>
    <mergeCell ref="AQ211:AR211"/>
    <mergeCell ref="AS211:AW211"/>
    <mergeCell ref="AX211:AY211"/>
    <mergeCell ref="AZ211:BD211"/>
    <mergeCell ref="BE211:BF211"/>
    <mergeCell ref="BG211:BK211"/>
    <mergeCell ref="BL211:BM211"/>
    <mergeCell ref="BN211:BR211"/>
    <mergeCell ref="BS211:BT211"/>
    <mergeCell ref="BU211:BY211"/>
    <mergeCell ref="BZ211:CA211"/>
    <mergeCell ref="F212:I212"/>
    <mergeCell ref="J212:N212"/>
    <mergeCell ref="O212:P212"/>
    <mergeCell ref="Q212:U212"/>
    <mergeCell ref="V212:W212"/>
    <mergeCell ref="AS212:AW212"/>
    <mergeCell ref="AX212:AY212"/>
    <mergeCell ref="AZ212:BD212"/>
    <mergeCell ref="BE212:BF212"/>
    <mergeCell ref="AL209:AP209"/>
    <mergeCell ref="AQ209:AR209"/>
    <mergeCell ref="AS209:AW209"/>
    <mergeCell ref="AX209:AY209"/>
    <mergeCell ref="AZ209:BD209"/>
    <mergeCell ref="BE209:BF209"/>
    <mergeCell ref="BG209:BK209"/>
    <mergeCell ref="BL209:BM209"/>
    <mergeCell ref="BN209:BR209"/>
    <mergeCell ref="BS209:BT209"/>
    <mergeCell ref="BU209:BY209"/>
    <mergeCell ref="BZ209:CA209"/>
    <mergeCell ref="F210:I210"/>
    <mergeCell ref="J210:N210"/>
    <mergeCell ref="O210:P210"/>
    <mergeCell ref="Q210:U210"/>
    <mergeCell ref="V210:W210"/>
    <mergeCell ref="X210:AB210"/>
    <mergeCell ref="AC210:AD210"/>
    <mergeCell ref="AE210:AI210"/>
    <mergeCell ref="AJ210:AK210"/>
    <mergeCell ref="AL210:AP210"/>
    <mergeCell ref="AQ210:AR210"/>
    <mergeCell ref="AS210:AW210"/>
    <mergeCell ref="AX210:AY210"/>
    <mergeCell ref="AZ210:BD210"/>
    <mergeCell ref="BE210:BF210"/>
    <mergeCell ref="BG210:BK210"/>
    <mergeCell ref="BL210:BM210"/>
    <mergeCell ref="BN210:BR210"/>
    <mergeCell ref="BS210:BT210"/>
    <mergeCell ref="BU210:BY210"/>
    <mergeCell ref="BL207:BM207"/>
    <mergeCell ref="BN207:BR207"/>
    <mergeCell ref="BS207:BT207"/>
    <mergeCell ref="BU207:BY207"/>
    <mergeCell ref="BZ207:CA207"/>
    <mergeCell ref="B208:E210"/>
    <mergeCell ref="F208:I208"/>
    <mergeCell ref="J208:N208"/>
    <mergeCell ref="O208:P208"/>
    <mergeCell ref="Q208:U208"/>
    <mergeCell ref="V208:W208"/>
    <mergeCell ref="X208:AB208"/>
    <mergeCell ref="AC208:AD208"/>
    <mergeCell ref="AE208:AI208"/>
    <mergeCell ref="AJ208:AK208"/>
    <mergeCell ref="AL208:AP208"/>
    <mergeCell ref="AQ208:AR208"/>
    <mergeCell ref="AS208:AW208"/>
    <mergeCell ref="AX208:AY208"/>
    <mergeCell ref="AZ208:BD208"/>
    <mergeCell ref="BE208:BF208"/>
    <mergeCell ref="BG208:BK208"/>
    <mergeCell ref="BL208:BM208"/>
    <mergeCell ref="BN208:BR208"/>
    <mergeCell ref="BS208:BT208"/>
    <mergeCell ref="BU208:BY208"/>
    <mergeCell ref="BZ208:CA208"/>
    <mergeCell ref="F209:I209"/>
    <mergeCell ref="J209:N209"/>
    <mergeCell ref="O209:P209"/>
    <mergeCell ref="Q209:U209"/>
    <mergeCell ref="V209:W209"/>
    <mergeCell ref="X206:AB206"/>
    <mergeCell ref="AC206:AD206"/>
    <mergeCell ref="AE206:AI206"/>
    <mergeCell ref="AJ206:AK206"/>
    <mergeCell ref="AL206:AP206"/>
    <mergeCell ref="AQ206:AR206"/>
    <mergeCell ref="AS206:AW206"/>
    <mergeCell ref="AX206:AY206"/>
    <mergeCell ref="AZ206:BD206"/>
    <mergeCell ref="BE206:BF206"/>
    <mergeCell ref="BG206:BK206"/>
    <mergeCell ref="BL206:BM206"/>
    <mergeCell ref="BN206:BR206"/>
    <mergeCell ref="BS206:BT206"/>
    <mergeCell ref="BU206:BY206"/>
    <mergeCell ref="BZ206:CA206"/>
    <mergeCell ref="F207:I207"/>
    <mergeCell ref="J207:N207"/>
    <mergeCell ref="O207:P207"/>
    <mergeCell ref="Q207:U207"/>
    <mergeCell ref="V207:W207"/>
    <mergeCell ref="X207:AB207"/>
    <mergeCell ref="AC207:AD207"/>
    <mergeCell ref="AE207:AI207"/>
    <mergeCell ref="AJ207:AK207"/>
    <mergeCell ref="AL207:AP207"/>
    <mergeCell ref="AQ207:AR207"/>
    <mergeCell ref="AS207:AW207"/>
    <mergeCell ref="AX207:AY207"/>
    <mergeCell ref="AZ207:BD207"/>
    <mergeCell ref="BE207:BF207"/>
    <mergeCell ref="BG207:BK207"/>
    <mergeCell ref="BL204:BM204"/>
    <mergeCell ref="BN204:BR204"/>
    <mergeCell ref="BS204:BT204"/>
    <mergeCell ref="BU204:BY204"/>
    <mergeCell ref="BZ204:CA204"/>
    <mergeCell ref="B205:E207"/>
    <mergeCell ref="F205:I205"/>
    <mergeCell ref="J205:N205"/>
    <mergeCell ref="O205:P205"/>
    <mergeCell ref="Q205:U205"/>
    <mergeCell ref="V205:W205"/>
    <mergeCell ref="X205:AB205"/>
    <mergeCell ref="AC205:AD205"/>
    <mergeCell ref="AE205:AI205"/>
    <mergeCell ref="AJ205:AK205"/>
    <mergeCell ref="AL205:AP205"/>
    <mergeCell ref="AQ205:AR205"/>
    <mergeCell ref="AS205:AW205"/>
    <mergeCell ref="AX205:AY205"/>
    <mergeCell ref="AZ205:BD205"/>
    <mergeCell ref="BE205:BF205"/>
    <mergeCell ref="BG205:BK205"/>
    <mergeCell ref="BL205:BM205"/>
    <mergeCell ref="BN205:BR205"/>
    <mergeCell ref="BS205:BT205"/>
    <mergeCell ref="BU205:BY205"/>
    <mergeCell ref="BZ205:CA205"/>
    <mergeCell ref="F206:I206"/>
    <mergeCell ref="J206:N206"/>
    <mergeCell ref="O206:P206"/>
    <mergeCell ref="Q206:U206"/>
    <mergeCell ref="V206:W206"/>
    <mergeCell ref="X203:AB203"/>
    <mergeCell ref="AC203:AD203"/>
    <mergeCell ref="AE203:AI203"/>
    <mergeCell ref="AJ203:AK203"/>
    <mergeCell ref="AL203:AP203"/>
    <mergeCell ref="AQ203:AR203"/>
    <mergeCell ref="AS203:AW203"/>
    <mergeCell ref="AX203:AY203"/>
    <mergeCell ref="AZ203:BD203"/>
    <mergeCell ref="BE203:BF203"/>
    <mergeCell ref="BG203:BK203"/>
    <mergeCell ref="BL203:BM203"/>
    <mergeCell ref="BN203:BR203"/>
    <mergeCell ref="BS203:BT203"/>
    <mergeCell ref="BU203:BY203"/>
    <mergeCell ref="BZ203:CA203"/>
    <mergeCell ref="F204:I204"/>
    <mergeCell ref="J204:N204"/>
    <mergeCell ref="O204:P204"/>
    <mergeCell ref="Q204:U204"/>
    <mergeCell ref="V204:W204"/>
    <mergeCell ref="X204:AB204"/>
    <mergeCell ref="AC204:AD204"/>
    <mergeCell ref="AE204:AI204"/>
    <mergeCell ref="AJ204:AK204"/>
    <mergeCell ref="AL204:AP204"/>
    <mergeCell ref="AQ204:AR204"/>
    <mergeCell ref="AS204:AW204"/>
    <mergeCell ref="AX204:AY204"/>
    <mergeCell ref="AZ204:BD204"/>
    <mergeCell ref="BE204:BF204"/>
    <mergeCell ref="BG204:BK204"/>
    <mergeCell ref="BL201:BM201"/>
    <mergeCell ref="BN201:BR201"/>
    <mergeCell ref="BS201:BT201"/>
    <mergeCell ref="BU201:BY201"/>
    <mergeCell ref="BZ201:CA201"/>
    <mergeCell ref="B202:E204"/>
    <mergeCell ref="F202:I202"/>
    <mergeCell ref="J202:N202"/>
    <mergeCell ref="O202:P202"/>
    <mergeCell ref="Q202:U202"/>
    <mergeCell ref="V202:W202"/>
    <mergeCell ref="X202:AB202"/>
    <mergeCell ref="AC202:AD202"/>
    <mergeCell ref="AE202:AI202"/>
    <mergeCell ref="AJ202:AK202"/>
    <mergeCell ref="AL202:AP202"/>
    <mergeCell ref="AQ202:AR202"/>
    <mergeCell ref="AS202:AW202"/>
    <mergeCell ref="AX202:AY202"/>
    <mergeCell ref="AZ202:BD202"/>
    <mergeCell ref="BE202:BF202"/>
    <mergeCell ref="BG202:BK202"/>
    <mergeCell ref="BL202:BM202"/>
    <mergeCell ref="BN202:BR202"/>
    <mergeCell ref="BS202:BT202"/>
    <mergeCell ref="BU202:BY202"/>
    <mergeCell ref="BZ202:CA202"/>
    <mergeCell ref="F203:I203"/>
    <mergeCell ref="J203:N203"/>
    <mergeCell ref="O203:P203"/>
    <mergeCell ref="Q203:U203"/>
    <mergeCell ref="V203:W203"/>
    <mergeCell ref="BL199:BM199"/>
    <mergeCell ref="BN199:BR199"/>
    <mergeCell ref="BS199:BT199"/>
    <mergeCell ref="BU199:BY199"/>
    <mergeCell ref="BZ199:CA199"/>
    <mergeCell ref="F200:I200"/>
    <mergeCell ref="J200:N200"/>
    <mergeCell ref="O200:P200"/>
    <mergeCell ref="Q200:U200"/>
    <mergeCell ref="V200:W200"/>
    <mergeCell ref="X200:AB200"/>
    <mergeCell ref="AC200:AD200"/>
    <mergeCell ref="AE200:AI200"/>
    <mergeCell ref="AJ200:AK200"/>
    <mergeCell ref="AL200:AP200"/>
    <mergeCell ref="AQ200:AR200"/>
    <mergeCell ref="AS200:AW200"/>
    <mergeCell ref="AX200:AY200"/>
    <mergeCell ref="AZ200:BD200"/>
    <mergeCell ref="BE200:BF200"/>
    <mergeCell ref="BG200:BK200"/>
    <mergeCell ref="BL200:BM200"/>
    <mergeCell ref="BN200:BR200"/>
    <mergeCell ref="BS200:BT200"/>
    <mergeCell ref="BU200:BY200"/>
    <mergeCell ref="BZ200:CA200"/>
    <mergeCell ref="B199:E201"/>
    <mergeCell ref="F199:I199"/>
    <mergeCell ref="J199:N199"/>
    <mergeCell ref="O199:P199"/>
    <mergeCell ref="Q199:U199"/>
    <mergeCell ref="V199:W199"/>
    <mergeCell ref="X199:AB199"/>
    <mergeCell ref="AC199:AD199"/>
    <mergeCell ref="AE199:AI199"/>
    <mergeCell ref="AJ199:AK199"/>
    <mergeCell ref="AL199:AP199"/>
    <mergeCell ref="AQ199:AR199"/>
    <mergeCell ref="AS199:AW199"/>
    <mergeCell ref="AX199:AY199"/>
    <mergeCell ref="AZ199:BD199"/>
    <mergeCell ref="BE199:BF199"/>
    <mergeCell ref="BG199:BK199"/>
    <mergeCell ref="F201:I201"/>
    <mergeCell ref="J201:N201"/>
    <mergeCell ref="O201:P201"/>
    <mergeCell ref="Q201:U201"/>
    <mergeCell ref="V201:W201"/>
    <mergeCell ref="X201:AB201"/>
    <mergeCell ref="AQ201:AR201"/>
    <mergeCell ref="AS201:AW201"/>
    <mergeCell ref="AX201:AY201"/>
    <mergeCell ref="AZ201:BD201"/>
    <mergeCell ref="BE201:BF201"/>
    <mergeCell ref="BG201:BK201"/>
    <mergeCell ref="AS198:AW198"/>
    <mergeCell ref="AX198:AY198"/>
    <mergeCell ref="AZ198:BD198"/>
    <mergeCell ref="BE198:BF198"/>
    <mergeCell ref="BG198:BK198"/>
    <mergeCell ref="BL198:BM198"/>
    <mergeCell ref="BN198:BR198"/>
    <mergeCell ref="BS198:BT198"/>
    <mergeCell ref="BU198:BY198"/>
    <mergeCell ref="BZ198:CA198"/>
    <mergeCell ref="J197:N197"/>
    <mergeCell ref="O197:P197"/>
    <mergeCell ref="Q197:U197"/>
    <mergeCell ref="V197:W197"/>
    <mergeCell ref="X197:AB197"/>
    <mergeCell ref="AC197:AD197"/>
    <mergeCell ref="AE197:AI197"/>
    <mergeCell ref="AJ197:AK197"/>
    <mergeCell ref="AL197:AP197"/>
    <mergeCell ref="AQ197:AR197"/>
    <mergeCell ref="AS197:AW197"/>
    <mergeCell ref="AX197:AY197"/>
    <mergeCell ref="BN195:BR195"/>
    <mergeCell ref="BS195:BT195"/>
    <mergeCell ref="BU195:BY195"/>
    <mergeCell ref="BZ195:CA195"/>
    <mergeCell ref="B196:E198"/>
    <mergeCell ref="F196:I196"/>
    <mergeCell ref="J196:N196"/>
    <mergeCell ref="O196:P196"/>
    <mergeCell ref="Q196:U196"/>
    <mergeCell ref="V196:W196"/>
    <mergeCell ref="X196:AB196"/>
    <mergeCell ref="AC196:AD196"/>
    <mergeCell ref="AE196:AI196"/>
    <mergeCell ref="AJ196:AK196"/>
    <mergeCell ref="AL196:AP196"/>
    <mergeCell ref="AQ196:AR196"/>
    <mergeCell ref="AS196:AW196"/>
    <mergeCell ref="AX196:AY196"/>
    <mergeCell ref="AZ196:BD196"/>
    <mergeCell ref="BE196:BF196"/>
    <mergeCell ref="BG196:BK196"/>
    <mergeCell ref="BL196:BM196"/>
    <mergeCell ref="BS197:BT197"/>
    <mergeCell ref="BU197:BY197"/>
    <mergeCell ref="BZ197:CA197"/>
    <mergeCell ref="F198:I198"/>
    <mergeCell ref="J198:N198"/>
    <mergeCell ref="O198:P198"/>
    <mergeCell ref="Q198:U198"/>
    <mergeCell ref="V198:W198"/>
    <mergeCell ref="X198:AB198"/>
    <mergeCell ref="AQ198:AR198"/>
    <mergeCell ref="BN196:BR196"/>
    <mergeCell ref="BS196:BT196"/>
    <mergeCell ref="BU196:BY196"/>
    <mergeCell ref="BZ196:CA196"/>
    <mergeCell ref="F197:I197"/>
    <mergeCell ref="AC193:AD193"/>
    <mergeCell ref="AE193:AI193"/>
    <mergeCell ref="AJ193:AK193"/>
    <mergeCell ref="AL193:AP193"/>
    <mergeCell ref="AQ193:AR193"/>
    <mergeCell ref="F195:I195"/>
    <mergeCell ref="J195:N195"/>
    <mergeCell ref="O195:P195"/>
    <mergeCell ref="Q195:U195"/>
    <mergeCell ref="V195:W195"/>
    <mergeCell ref="X195:AB195"/>
    <mergeCell ref="AC195:AD195"/>
    <mergeCell ref="AE195:AI195"/>
    <mergeCell ref="AJ195:AK195"/>
    <mergeCell ref="AL195:AP195"/>
    <mergeCell ref="AQ195:AR195"/>
    <mergeCell ref="AS195:AW195"/>
    <mergeCell ref="AZ197:BD197"/>
    <mergeCell ref="BE197:BF197"/>
    <mergeCell ref="BG197:BK197"/>
    <mergeCell ref="BL197:BM197"/>
    <mergeCell ref="BN197:BR197"/>
    <mergeCell ref="AX195:AY195"/>
    <mergeCell ref="AZ195:BD195"/>
    <mergeCell ref="BE195:BF195"/>
    <mergeCell ref="BG195:BK195"/>
    <mergeCell ref="BL195:BM195"/>
    <mergeCell ref="AQ191:AR192"/>
    <mergeCell ref="AS191:AW192"/>
    <mergeCell ref="AX191:AY192"/>
    <mergeCell ref="AZ191:BD192"/>
    <mergeCell ref="BU193:BY193"/>
    <mergeCell ref="BZ193:CA193"/>
    <mergeCell ref="F194:I194"/>
    <mergeCell ref="J194:N194"/>
    <mergeCell ref="O194:P194"/>
    <mergeCell ref="Q194:U194"/>
    <mergeCell ref="V194:W194"/>
    <mergeCell ref="X194:AB194"/>
    <mergeCell ref="AC194:AD194"/>
    <mergeCell ref="AE194:AI194"/>
    <mergeCell ref="AJ194:AK194"/>
    <mergeCell ref="AL194:AP194"/>
    <mergeCell ref="AQ194:AR194"/>
    <mergeCell ref="AS194:AW194"/>
    <mergeCell ref="AX194:AY194"/>
    <mergeCell ref="AZ194:BD194"/>
    <mergeCell ref="BE194:BF194"/>
    <mergeCell ref="BG194:BK194"/>
    <mergeCell ref="BL194:BM194"/>
    <mergeCell ref="BN194:BR194"/>
    <mergeCell ref="BS194:BT194"/>
    <mergeCell ref="BU194:BY194"/>
    <mergeCell ref="BZ194:CA194"/>
    <mergeCell ref="O193:P193"/>
    <mergeCell ref="Q193:U193"/>
    <mergeCell ref="V193:W193"/>
    <mergeCell ref="X193:AB193"/>
    <mergeCell ref="BN327:BR327"/>
    <mergeCell ref="BS327:BT327"/>
    <mergeCell ref="BU327:BY327"/>
    <mergeCell ref="AJ327:AK327"/>
    <mergeCell ref="AS193:AW193"/>
    <mergeCell ref="AX193:AY193"/>
    <mergeCell ref="AZ193:BD193"/>
    <mergeCell ref="BE193:BF193"/>
    <mergeCell ref="BG193:BK193"/>
    <mergeCell ref="BL193:BM193"/>
    <mergeCell ref="BN193:BR193"/>
    <mergeCell ref="BS193:BT193"/>
    <mergeCell ref="AS189:CA189"/>
    <mergeCell ref="J190:P190"/>
    <mergeCell ref="Q190:W190"/>
    <mergeCell ref="X190:AD190"/>
    <mergeCell ref="AE190:AK190"/>
    <mergeCell ref="AL190:AR190"/>
    <mergeCell ref="AS190:AY190"/>
    <mergeCell ref="AZ190:BF190"/>
    <mergeCell ref="BG190:BM190"/>
    <mergeCell ref="BN190:BT190"/>
    <mergeCell ref="BU190:CA190"/>
    <mergeCell ref="J191:N192"/>
    <mergeCell ref="O191:P192"/>
    <mergeCell ref="Q191:U192"/>
    <mergeCell ref="V191:W192"/>
    <mergeCell ref="X191:AB192"/>
    <mergeCell ref="AC191:AD192"/>
    <mergeCell ref="AE191:AI192"/>
    <mergeCell ref="AJ191:AK192"/>
    <mergeCell ref="AL191:AP192"/>
    <mergeCell ref="B325:E327"/>
    <mergeCell ref="F325:I325"/>
    <mergeCell ref="J325:N325"/>
    <mergeCell ref="O325:P325"/>
    <mergeCell ref="Q325:U325"/>
    <mergeCell ref="BE191:BF192"/>
    <mergeCell ref="BG191:BK192"/>
    <mergeCell ref="BL191:BM192"/>
    <mergeCell ref="BN191:BR192"/>
    <mergeCell ref="BS191:BT192"/>
    <mergeCell ref="BU191:BY192"/>
    <mergeCell ref="BZ191:CA192"/>
    <mergeCell ref="AA377:AQ377"/>
    <mergeCell ref="A378:M378"/>
    <mergeCell ref="N378:V378"/>
    <mergeCell ref="W378:Z378"/>
    <mergeCell ref="AA378:AQ378"/>
    <mergeCell ref="F372:AQ373"/>
    <mergeCell ref="A375:M375"/>
    <mergeCell ref="N375:V375"/>
    <mergeCell ref="W375:Z375"/>
    <mergeCell ref="AA375:AQ375"/>
    <mergeCell ref="A376:M376"/>
    <mergeCell ref="N376:V376"/>
    <mergeCell ref="W376:Z376"/>
    <mergeCell ref="AA376:AQ376"/>
    <mergeCell ref="W377:Z377"/>
    <mergeCell ref="N377:V377"/>
    <mergeCell ref="A377:M377"/>
    <mergeCell ref="BZ327:CA327"/>
    <mergeCell ref="BE327:BF327"/>
    <mergeCell ref="BG327:BK327"/>
    <mergeCell ref="AL327:AP327"/>
    <mergeCell ref="AQ327:AR327"/>
    <mergeCell ref="AS327:AW327"/>
    <mergeCell ref="AX327:AY327"/>
    <mergeCell ref="AZ327:BD327"/>
    <mergeCell ref="BU326:BY326"/>
    <mergeCell ref="BZ326:CA326"/>
    <mergeCell ref="F327:I327"/>
    <mergeCell ref="J327:N327"/>
    <mergeCell ref="O327:P327"/>
    <mergeCell ref="Q327:U327"/>
    <mergeCell ref="V327:W327"/>
    <mergeCell ref="X327:AB327"/>
    <mergeCell ref="AC327:AD327"/>
    <mergeCell ref="AE327:AI327"/>
    <mergeCell ref="AZ326:BD326"/>
    <mergeCell ref="BE326:BF326"/>
    <mergeCell ref="BG326:BK326"/>
    <mergeCell ref="BL326:BM326"/>
    <mergeCell ref="BN326:BR326"/>
    <mergeCell ref="BS326:BT326"/>
    <mergeCell ref="AE326:AI326"/>
    <mergeCell ref="AJ326:AK326"/>
    <mergeCell ref="AL326:AP326"/>
    <mergeCell ref="AQ326:AR326"/>
    <mergeCell ref="AS326:AW326"/>
    <mergeCell ref="AX326:AY326"/>
    <mergeCell ref="J326:N326"/>
    <mergeCell ref="O326:P326"/>
    <mergeCell ref="Q326:U326"/>
    <mergeCell ref="V326:W326"/>
    <mergeCell ref="BL327:BM327"/>
    <mergeCell ref="F324:I324"/>
    <mergeCell ref="J324:N324"/>
    <mergeCell ref="O324:P324"/>
    <mergeCell ref="Q324:U324"/>
    <mergeCell ref="V324:W324"/>
    <mergeCell ref="X324:AB324"/>
    <mergeCell ref="BL325:BM325"/>
    <mergeCell ref="BN325:BR325"/>
    <mergeCell ref="AC325:AD325"/>
    <mergeCell ref="AE325:AI325"/>
    <mergeCell ref="AJ325:AK325"/>
    <mergeCell ref="AL325:AP325"/>
    <mergeCell ref="AQ325:AR325"/>
    <mergeCell ref="AS325:AW325"/>
    <mergeCell ref="BS324:BT324"/>
    <mergeCell ref="BU324:BY324"/>
    <mergeCell ref="BZ324:CA324"/>
    <mergeCell ref="BS325:BT325"/>
    <mergeCell ref="BU325:BY325"/>
    <mergeCell ref="BZ325:CA325"/>
    <mergeCell ref="AJ323:AK323"/>
    <mergeCell ref="BE322:BF322"/>
    <mergeCell ref="BG322:BK322"/>
    <mergeCell ref="BL322:BM322"/>
    <mergeCell ref="BN322:BR322"/>
    <mergeCell ref="BS322:BT322"/>
    <mergeCell ref="BU322:BY322"/>
    <mergeCell ref="AJ322:AK322"/>
    <mergeCell ref="AL322:AP322"/>
    <mergeCell ref="V325:W325"/>
    <mergeCell ref="X325:AB325"/>
    <mergeCell ref="AX324:AY324"/>
    <mergeCell ref="AZ324:BD324"/>
    <mergeCell ref="BE324:BF324"/>
    <mergeCell ref="BG324:BK324"/>
    <mergeCell ref="BL324:BM324"/>
    <mergeCell ref="BN324:BR324"/>
    <mergeCell ref="AC324:AD324"/>
    <mergeCell ref="AE324:AI324"/>
    <mergeCell ref="AJ324:AK324"/>
    <mergeCell ref="AL324:AP324"/>
    <mergeCell ref="AQ324:AR324"/>
    <mergeCell ref="AS324:AW324"/>
    <mergeCell ref="BG323:BK323"/>
    <mergeCell ref="BL323:BM323"/>
    <mergeCell ref="BN323:BR323"/>
    <mergeCell ref="BS323:BT323"/>
    <mergeCell ref="BU323:BY323"/>
    <mergeCell ref="AQ322:AR322"/>
    <mergeCell ref="AS322:AW322"/>
    <mergeCell ref="AX322:AY322"/>
    <mergeCell ref="AZ322:BD322"/>
    <mergeCell ref="B322:E324"/>
    <mergeCell ref="F322:I322"/>
    <mergeCell ref="J322:N322"/>
    <mergeCell ref="O322:P322"/>
    <mergeCell ref="Q322:U322"/>
    <mergeCell ref="V322:W322"/>
    <mergeCell ref="X322:AB322"/>
    <mergeCell ref="AC322:AD322"/>
    <mergeCell ref="AE322:AI322"/>
    <mergeCell ref="BE321:BF321"/>
    <mergeCell ref="BG321:BK321"/>
    <mergeCell ref="BL321:BM321"/>
    <mergeCell ref="BN321:BR321"/>
    <mergeCell ref="F326:I326"/>
    <mergeCell ref="X326:AB326"/>
    <mergeCell ref="AC326:AD326"/>
    <mergeCell ref="AX325:AY325"/>
    <mergeCell ref="AZ325:BD325"/>
    <mergeCell ref="BE325:BF325"/>
    <mergeCell ref="BG325:BK325"/>
    <mergeCell ref="AL323:AP323"/>
    <mergeCell ref="AQ323:AR323"/>
    <mergeCell ref="AS323:AW323"/>
    <mergeCell ref="AX323:AY323"/>
    <mergeCell ref="AZ323:BD323"/>
    <mergeCell ref="BE323:BF323"/>
    <mergeCell ref="F323:I323"/>
    <mergeCell ref="J323:N323"/>
    <mergeCell ref="O323:P323"/>
    <mergeCell ref="Q323:U323"/>
    <mergeCell ref="V323:W323"/>
    <mergeCell ref="X323:AB323"/>
    <mergeCell ref="BU320:BY320"/>
    <mergeCell ref="BZ320:CA320"/>
    <mergeCell ref="F321:I321"/>
    <mergeCell ref="J321:N321"/>
    <mergeCell ref="O321:P321"/>
    <mergeCell ref="Q321:U321"/>
    <mergeCell ref="V321:W321"/>
    <mergeCell ref="X321:AB321"/>
    <mergeCell ref="AC321:AD321"/>
    <mergeCell ref="AE321:AI321"/>
    <mergeCell ref="AZ320:BD320"/>
    <mergeCell ref="BE320:BF320"/>
    <mergeCell ref="BG320:BK320"/>
    <mergeCell ref="BL320:BM320"/>
    <mergeCell ref="BN320:BR320"/>
    <mergeCell ref="BS320:BT320"/>
    <mergeCell ref="AE320:AI320"/>
    <mergeCell ref="AJ320:AK320"/>
    <mergeCell ref="AL320:AP320"/>
    <mergeCell ref="BZ323:CA323"/>
    <mergeCell ref="BZ322:CA322"/>
    <mergeCell ref="AC323:AD323"/>
    <mergeCell ref="AE323:AI323"/>
    <mergeCell ref="AX320:AY320"/>
    <mergeCell ref="J320:N320"/>
    <mergeCell ref="O320:P320"/>
    <mergeCell ref="Q320:U320"/>
    <mergeCell ref="V320:W320"/>
    <mergeCell ref="X320:AB320"/>
    <mergeCell ref="AC320:AD320"/>
    <mergeCell ref="BZ321:CA321"/>
    <mergeCell ref="AX319:AY319"/>
    <mergeCell ref="AZ319:BD319"/>
    <mergeCell ref="BE319:BF319"/>
    <mergeCell ref="BG319:BK319"/>
    <mergeCell ref="BL319:BM319"/>
    <mergeCell ref="BN319:BR319"/>
    <mergeCell ref="AC319:AD319"/>
    <mergeCell ref="AE319:AI319"/>
    <mergeCell ref="AJ319:AK319"/>
    <mergeCell ref="AL319:AP319"/>
    <mergeCell ref="AQ319:AR319"/>
    <mergeCell ref="AS319:AW319"/>
    <mergeCell ref="BS321:BT321"/>
    <mergeCell ref="BU321:BY321"/>
    <mergeCell ref="AJ321:AK321"/>
    <mergeCell ref="AL321:AP321"/>
    <mergeCell ref="AQ321:AR321"/>
    <mergeCell ref="AS321:AW321"/>
    <mergeCell ref="AX321:AY321"/>
    <mergeCell ref="AZ321:BD321"/>
    <mergeCell ref="BZ318:CA318"/>
    <mergeCell ref="B319:E321"/>
    <mergeCell ref="F319:I319"/>
    <mergeCell ref="J319:N319"/>
    <mergeCell ref="O319:P319"/>
    <mergeCell ref="Q319:U319"/>
    <mergeCell ref="V319:W319"/>
    <mergeCell ref="X319:AB319"/>
    <mergeCell ref="AX318:AY318"/>
    <mergeCell ref="AZ318:BD318"/>
    <mergeCell ref="BE318:BF318"/>
    <mergeCell ref="BG318:BK318"/>
    <mergeCell ref="BL318:BM318"/>
    <mergeCell ref="BN318:BR318"/>
    <mergeCell ref="AC318:AD318"/>
    <mergeCell ref="AE318:AI318"/>
    <mergeCell ref="AJ318:AK318"/>
    <mergeCell ref="AL318:AP318"/>
    <mergeCell ref="AQ318:AR318"/>
    <mergeCell ref="AS318:AW318"/>
    <mergeCell ref="F318:I318"/>
    <mergeCell ref="J318:N318"/>
    <mergeCell ref="O318:P318"/>
    <mergeCell ref="Q318:U318"/>
    <mergeCell ref="V318:W318"/>
    <mergeCell ref="X318:AB318"/>
    <mergeCell ref="BS319:BT319"/>
    <mergeCell ref="BU319:BY319"/>
    <mergeCell ref="BZ319:CA319"/>
    <mergeCell ref="F320:I320"/>
    <mergeCell ref="AQ320:AR320"/>
    <mergeCell ref="AS320:AW320"/>
    <mergeCell ref="BZ317:CA317"/>
    <mergeCell ref="AL317:AP317"/>
    <mergeCell ref="AQ317:AR317"/>
    <mergeCell ref="AS317:AW317"/>
    <mergeCell ref="AX317:AY317"/>
    <mergeCell ref="AZ317:BD317"/>
    <mergeCell ref="BE317:BF317"/>
    <mergeCell ref="BZ316:CA316"/>
    <mergeCell ref="F317:I317"/>
    <mergeCell ref="J317:N317"/>
    <mergeCell ref="O317:P317"/>
    <mergeCell ref="Q317:U317"/>
    <mergeCell ref="V317:W317"/>
    <mergeCell ref="X317:AB317"/>
    <mergeCell ref="AC317:AD317"/>
    <mergeCell ref="AE317:AI317"/>
    <mergeCell ref="AJ317:AK317"/>
    <mergeCell ref="BE316:BF316"/>
    <mergeCell ref="BG316:BK316"/>
    <mergeCell ref="BL316:BM316"/>
    <mergeCell ref="BN316:BR316"/>
    <mergeCell ref="BS316:BT316"/>
    <mergeCell ref="BU316:BY316"/>
    <mergeCell ref="AJ316:AK316"/>
    <mergeCell ref="AL316:AP316"/>
    <mergeCell ref="AQ316:AR316"/>
    <mergeCell ref="AS316:AW316"/>
    <mergeCell ref="AX316:AY316"/>
    <mergeCell ref="AZ316:BD316"/>
    <mergeCell ref="B316:E318"/>
    <mergeCell ref="F316:I316"/>
    <mergeCell ref="J316:N316"/>
    <mergeCell ref="O316:P316"/>
    <mergeCell ref="Q316:U316"/>
    <mergeCell ref="V316:W316"/>
    <mergeCell ref="X316:AB316"/>
    <mergeCell ref="AC316:AD316"/>
    <mergeCell ref="AE316:AI316"/>
    <mergeCell ref="BE315:BF315"/>
    <mergeCell ref="BG315:BK315"/>
    <mergeCell ref="BL315:BM315"/>
    <mergeCell ref="BN315:BR315"/>
    <mergeCell ref="BS315:BT315"/>
    <mergeCell ref="BU315:BY315"/>
    <mergeCell ref="AJ315:AK315"/>
    <mergeCell ref="AL315:AP315"/>
    <mergeCell ref="AQ315:AR315"/>
    <mergeCell ref="AS315:AW315"/>
    <mergeCell ref="AX315:AY315"/>
    <mergeCell ref="AZ315:BD315"/>
    <mergeCell ref="BG317:BK317"/>
    <mergeCell ref="BL317:BM317"/>
    <mergeCell ref="BN317:BR317"/>
    <mergeCell ref="BS317:BT317"/>
    <mergeCell ref="BU317:BY317"/>
    <mergeCell ref="BS318:BT318"/>
    <mergeCell ref="BU318:BY318"/>
    <mergeCell ref="BU314:BY314"/>
    <mergeCell ref="BZ314:CA314"/>
    <mergeCell ref="F315:I315"/>
    <mergeCell ref="J315:N315"/>
    <mergeCell ref="O315:P315"/>
    <mergeCell ref="Q315:U315"/>
    <mergeCell ref="V315:W315"/>
    <mergeCell ref="X315:AB315"/>
    <mergeCell ref="AC315:AD315"/>
    <mergeCell ref="AE315:AI315"/>
    <mergeCell ref="AZ314:BD314"/>
    <mergeCell ref="BE314:BF314"/>
    <mergeCell ref="BG314:BK314"/>
    <mergeCell ref="BL314:BM314"/>
    <mergeCell ref="BN314:BR314"/>
    <mergeCell ref="BS314:BT314"/>
    <mergeCell ref="AE314:AI314"/>
    <mergeCell ref="AJ314:AK314"/>
    <mergeCell ref="AL314:AP314"/>
    <mergeCell ref="AQ314:AR314"/>
    <mergeCell ref="AS314:AW314"/>
    <mergeCell ref="AX314:AY314"/>
    <mergeCell ref="J314:N314"/>
    <mergeCell ref="O314:P314"/>
    <mergeCell ref="Q314:U314"/>
    <mergeCell ref="V314:W314"/>
    <mergeCell ref="X314:AB314"/>
    <mergeCell ref="AC314:AD314"/>
    <mergeCell ref="BZ315:CA315"/>
    <mergeCell ref="AX313:AY313"/>
    <mergeCell ref="AZ313:BD313"/>
    <mergeCell ref="BE313:BF313"/>
    <mergeCell ref="BG313:BK313"/>
    <mergeCell ref="BL313:BM313"/>
    <mergeCell ref="BN313:BR313"/>
    <mergeCell ref="AC313:AD313"/>
    <mergeCell ref="AE313:AI313"/>
    <mergeCell ref="AJ313:AK313"/>
    <mergeCell ref="AL313:AP313"/>
    <mergeCell ref="AQ313:AR313"/>
    <mergeCell ref="AS313:AW313"/>
    <mergeCell ref="BS312:BT312"/>
    <mergeCell ref="BU312:BY312"/>
    <mergeCell ref="BZ312:CA312"/>
    <mergeCell ref="B313:E315"/>
    <mergeCell ref="F313:I313"/>
    <mergeCell ref="J313:N313"/>
    <mergeCell ref="O313:P313"/>
    <mergeCell ref="Q313:U313"/>
    <mergeCell ref="V313:W313"/>
    <mergeCell ref="X313:AB313"/>
    <mergeCell ref="AX312:AY312"/>
    <mergeCell ref="AZ312:BD312"/>
    <mergeCell ref="BE312:BF312"/>
    <mergeCell ref="BG312:BK312"/>
    <mergeCell ref="BL312:BM312"/>
    <mergeCell ref="BN312:BR312"/>
    <mergeCell ref="AC312:AD312"/>
    <mergeCell ref="AE312:AI312"/>
    <mergeCell ref="AJ312:AK312"/>
    <mergeCell ref="AL312:AP312"/>
    <mergeCell ref="AQ312:AR312"/>
    <mergeCell ref="AS312:AW312"/>
    <mergeCell ref="F312:I312"/>
    <mergeCell ref="J312:N312"/>
    <mergeCell ref="O312:P312"/>
    <mergeCell ref="Q312:U312"/>
    <mergeCell ref="V312:W312"/>
    <mergeCell ref="X312:AB312"/>
    <mergeCell ref="BS313:BT313"/>
    <mergeCell ref="BU313:BY313"/>
    <mergeCell ref="BZ313:CA313"/>
    <mergeCell ref="F314:I314"/>
    <mergeCell ref="AS311:AW311"/>
    <mergeCell ref="AX311:AY311"/>
    <mergeCell ref="AZ311:BD311"/>
    <mergeCell ref="BE311:BF311"/>
    <mergeCell ref="BZ310:CA310"/>
    <mergeCell ref="F311:I311"/>
    <mergeCell ref="J311:N311"/>
    <mergeCell ref="O311:P311"/>
    <mergeCell ref="Q311:U311"/>
    <mergeCell ref="V311:W311"/>
    <mergeCell ref="X311:AB311"/>
    <mergeCell ref="AC311:AD311"/>
    <mergeCell ref="AE311:AI311"/>
    <mergeCell ref="AJ311:AK311"/>
    <mergeCell ref="BE310:BF310"/>
    <mergeCell ref="BG310:BK310"/>
    <mergeCell ref="BL310:BM310"/>
    <mergeCell ref="BN310:BR310"/>
    <mergeCell ref="BS310:BT310"/>
    <mergeCell ref="BU310:BY310"/>
    <mergeCell ref="AJ310:AK310"/>
    <mergeCell ref="AL310:AP310"/>
    <mergeCell ref="AQ310:AR310"/>
    <mergeCell ref="AS310:AW310"/>
    <mergeCell ref="AX310:AY310"/>
    <mergeCell ref="AZ310:BD310"/>
    <mergeCell ref="BZ309:CA309"/>
    <mergeCell ref="B310:E312"/>
    <mergeCell ref="F310:I310"/>
    <mergeCell ref="J310:N310"/>
    <mergeCell ref="O310:P310"/>
    <mergeCell ref="Q310:U310"/>
    <mergeCell ref="V310:W310"/>
    <mergeCell ref="X310:AB310"/>
    <mergeCell ref="AC310:AD310"/>
    <mergeCell ref="AE310:AI310"/>
    <mergeCell ref="BE309:BF309"/>
    <mergeCell ref="BG309:BK309"/>
    <mergeCell ref="BL309:BM309"/>
    <mergeCell ref="BN309:BR309"/>
    <mergeCell ref="BS309:BT309"/>
    <mergeCell ref="BU309:BY309"/>
    <mergeCell ref="AJ309:AK309"/>
    <mergeCell ref="AL309:AP309"/>
    <mergeCell ref="AQ309:AR309"/>
    <mergeCell ref="AS309:AW309"/>
    <mergeCell ref="AX309:AY309"/>
    <mergeCell ref="AZ309:BD309"/>
    <mergeCell ref="BG311:BK311"/>
    <mergeCell ref="BL311:BM311"/>
    <mergeCell ref="BN311:BR311"/>
    <mergeCell ref="BS311:BT311"/>
    <mergeCell ref="BU311:BY311"/>
    <mergeCell ref="BZ311:CA311"/>
    <mergeCell ref="AL311:AP311"/>
    <mergeCell ref="AQ311:AR311"/>
    <mergeCell ref="BU308:BY308"/>
    <mergeCell ref="BZ308:CA308"/>
    <mergeCell ref="F309:I309"/>
    <mergeCell ref="J309:N309"/>
    <mergeCell ref="O309:P309"/>
    <mergeCell ref="Q309:U309"/>
    <mergeCell ref="V309:W309"/>
    <mergeCell ref="X309:AB309"/>
    <mergeCell ref="AC309:AD309"/>
    <mergeCell ref="AE309:AI309"/>
    <mergeCell ref="AZ308:BD308"/>
    <mergeCell ref="BE308:BF308"/>
    <mergeCell ref="BG308:BK308"/>
    <mergeCell ref="BL308:BM308"/>
    <mergeCell ref="BN308:BR308"/>
    <mergeCell ref="BS308:BT308"/>
    <mergeCell ref="AE308:AI308"/>
    <mergeCell ref="AJ308:AK308"/>
    <mergeCell ref="AL308:AP308"/>
    <mergeCell ref="AQ308:AR308"/>
    <mergeCell ref="AS308:AW308"/>
    <mergeCell ref="AX308:AY308"/>
    <mergeCell ref="J308:N308"/>
    <mergeCell ref="O308:P308"/>
    <mergeCell ref="Q308:U308"/>
    <mergeCell ref="V308:W308"/>
    <mergeCell ref="X308:AB308"/>
    <mergeCell ref="AC308:AD308"/>
    <mergeCell ref="B307:E309"/>
    <mergeCell ref="F307:I307"/>
    <mergeCell ref="J307:N307"/>
    <mergeCell ref="O307:P307"/>
    <mergeCell ref="Q307:U307"/>
    <mergeCell ref="V307:W307"/>
    <mergeCell ref="X307:AB307"/>
    <mergeCell ref="AX306:AY306"/>
    <mergeCell ref="AZ306:BD306"/>
    <mergeCell ref="BE306:BF306"/>
    <mergeCell ref="BG306:BK306"/>
    <mergeCell ref="BL306:BM306"/>
    <mergeCell ref="BN306:BR306"/>
    <mergeCell ref="AC306:AD306"/>
    <mergeCell ref="AE306:AI306"/>
    <mergeCell ref="AJ306:AK306"/>
    <mergeCell ref="AL306:AP306"/>
    <mergeCell ref="X306:AB306"/>
    <mergeCell ref="F308:I308"/>
    <mergeCell ref="AX307:AY307"/>
    <mergeCell ref="AZ307:BD307"/>
    <mergeCell ref="B304:E306"/>
    <mergeCell ref="X304:AB304"/>
    <mergeCell ref="AC304:AD304"/>
    <mergeCell ref="AE304:AI304"/>
    <mergeCell ref="F306:I306"/>
    <mergeCell ref="J306:N306"/>
    <mergeCell ref="O306:P306"/>
    <mergeCell ref="Q306:U306"/>
    <mergeCell ref="V306:W306"/>
    <mergeCell ref="BE307:BF307"/>
    <mergeCell ref="BG307:BK307"/>
    <mergeCell ref="BZ304:CA304"/>
    <mergeCell ref="F305:I305"/>
    <mergeCell ref="J305:N305"/>
    <mergeCell ref="O305:P305"/>
    <mergeCell ref="Q305:U305"/>
    <mergeCell ref="V305:W305"/>
    <mergeCell ref="X305:AB305"/>
    <mergeCell ref="AC305:AD305"/>
    <mergeCell ref="AE305:AI305"/>
    <mergeCell ref="AJ305:AK305"/>
    <mergeCell ref="BE304:BF304"/>
    <mergeCell ref="BG304:BK304"/>
    <mergeCell ref="BL304:BM304"/>
    <mergeCell ref="BN304:BR304"/>
    <mergeCell ref="BS304:BT304"/>
    <mergeCell ref="BU304:BY304"/>
    <mergeCell ref="AE307:AI307"/>
    <mergeCell ref="AJ307:AK307"/>
    <mergeCell ref="AL307:AP307"/>
    <mergeCell ref="AQ307:AR307"/>
    <mergeCell ref="AS307:AW307"/>
    <mergeCell ref="BS306:BT306"/>
    <mergeCell ref="BU306:BY306"/>
    <mergeCell ref="BZ306:CA306"/>
    <mergeCell ref="BS307:BT307"/>
    <mergeCell ref="BU307:BY307"/>
    <mergeCell ref="BZ307:CA307"/>
    <mergeCell ref="F304:I304"/>
    <mergeCell ref="J304:N304"/>
    <mergeCell ref="O304:P304"/>
    <mergeCell ref="Q304:U304"/>
    <mergeCell ref="V304:W304"/>
    <mergeCell ref="B301:E303"/>
    <mergeCell ref="F301:I301"/>
    <mergeCell ref="J301:N301"/>
    <mergeCell ref="O301:P301"/>
    <mergeCell ref="Q301:U301"/>
    <mergeCell ref="V301:W301"/>
    <mergeCell ref="X301:AB301"/>
    <mergeCell ref="BL301:BM301"/>
    <mergeCell ref="BN301:BR301"/>
    <mergeCell ref="AS305:AW305"/>
    <mergeCell ref="AX305:AY305"/>
    <mergeCell ref="AZ305:BD305"/>
    <mergeCell ref="BE305:BF305"/>
    <mergeCell ref="F303:I303"/>
    <mergeCell ref="J303:N303"/>
    <mergeCell ref="O303:P303"/>
    <mergeCell ref="Q303:U303"/>
    <mergeCell ref="V303:W303"/>
    <mergeCell ref="X303:AB303"/>
    <mergeCell ref="AC303:AD303"/>
    <mergeCell ref="AE303:AI303"/>
    <mergeCell ref="BL307:BM307"/>
    <mergeCell ref="BN307:BR307"/>
    <mergeCell ref="AC307:AD307"/>
    <mergeCell ref="Q302:U302"/>
    <mergeCell ref="V302:W302"/>
    <mergeCell ref="X302:AB302"/>
    <mergeCell ref="BS303:BT303"/>
    <mergeCell ref="BU303:BY303"/>
    <mergeCell ref="AJ303:AK303"/>
    <mergeCell ref="AL303:AP303"/>
    <mergeCell ref="AQ303:AR303"/>
    <mergeCell ref="AS303:AW303"/>
    <mergeCell ref="AX303:AY303"/>
    <mergeCell ref="AZ303:BD303"/>
    <mergeCell ref="BG305:BK305"/>
    <mergeCell ref="BL305:BM305"/>
    <mergeCell ref="BN305:BR305"/>
    <mergeCell ref="BS305:BT305"/>
    <mergeCell ref="AQ306:AR306"/>
    <mergeCell ref="AS306:AW306"/>
    <mergeCell ref="BE303:BF303"/>
    <mergeCell ref="BG303:BK303"/>
    <mergeCell ref="BL303:BM303"/>
    <mergeCell ref="BN303:BR303"/>
    <mergeCell ref="AS298:AW298"/>
    <mergeCell ref="BS300:BT300"/>
    <mergeCell ref="BU300:BY300"/>
    <mergeCell ref="BZ300:CA300"/>
    <mergeCell ref="BS301:BT301"/>
    <mergeCell ref="BU301:BY301"/>
    <mergeCell ref="BZ301:CA301"/>
    <mergeCell ref="BU305:BY305"/>
    <mergeCell ref="BZ305:CA305"/>
    <mergeCell ref="AL305:AP305"/>
    <mergeCell ref="AQ305:AR305"/>
    <mergeCell ref="BU302:BY302"/>
    <mergeCell ref="BZ302:CA302"/>
    <mergeCell ref="AJ304:AK304"/>
    <mergeCell ref="AL304:AP304"/>
    <mergeCell ref="AQ304:AR304"/>
    <mergeCell ref="AS304:AW304"/>
    <mergeCell ref="AX304:AY304"/>
    <mergeCell ref="AZ304:BD304"/>
    <mergeCell ref="BZ303:CA303"/>
    <mergeCell ref="AX300:AY300"/>
    <mergeCell ref="AZ300:BD300"/>
    <mergeCell ref="BE300:BF300"/>
    <mergeCell ref="BG300:BK300"/>
    <mergeCell ref="BL300:BM300"/>
    <mergeCell ref="BN300:BR300"/>
    <mergeCell ref="AZ302:BD302"/>
    <mergeCell ref="BE302:BF302"/>
    <mergeCell ref="BG302:BK302"/>
    <mergeCell ref="BL302:BM302"/>
    <mergeCell ref="BN302:BR302"/>
    <mergeCell ref="BS302:BT302"/>
    <mergeCell ref="AC300:AD300"/>
    <mergeCell ref="AE300:AI300"/>
    <mergeCell ref="AJ300:AK300"/>
    <mergeCell ref="AL300:AP300"/>
    <mergeCell ref="AQ300:AR300"/>
    <mergeCell ref="AS300:AW300"/>
    <mergeCell ref="F300:I300"/>
    <mergeCell ref="J300:N300"/>
    <mergeCell ref="O300:P300"/>
    <mergeCell ref="Q300:U300"/>
    <mergeCell ref="V300:W300"/>
    <mergeCell ref="X300:AB300"/>
    <mergeCell ref="AC302:AD302"/>
    <mergeCell ref="AX301:AY301"/>
    <mergeCell ref="AZ301:BD301"/>
    <mergeCell ref="BE301:BF301"/>
    <mergeCell ref="BG301:BK301"/>
    <mergeCell ref="AC301:AD301"/>
    <mergeCell ref="AE301:AI301"/>
    <mergeCell ref="AJ301:AK301"/>
    <mergeCell ref="AL301:AP301"/>
    <mergeCell ref="AQ301:AR301"/>
    <mergeCell ref="AS301:AW301"/>
    <mergeCell ref="AE302:AI302"/>
    <mergeCell ref="AJ302:AK302"/>
    <mergeCell ref="AL302:AP302"/>
    <mergeCell ref="AQ302:AR302"/>
    <mergeCell ref="AS302:AW302"/>
    <mergeCell ref="AX302:AY302"/>
    <mergeCell ref="F302:I302"/>
    <mergeCell ref="J302:N302"/>
    <mergeCell ref="O302:P302"/>
    <mergeCell ref="X296:AB297"/>
    <mergeCell ref="BG299:BK299"/>
    <mergeCell ref="BL299:BM299"/>
    <mergeCell ref="BN299:BR299"/>
    <mergeCell ref="BS299:BT299"/>
    <mergeCell ref="BU299:BY299"/>
    <mergeCell ref="BZ299:CA299"/>
    <mergeCell ref="AL299:AP299"/>
    <mergeCell ref="AQ299:AR299"/>
    <mergeCell ref="AS299:AW299"/>
    <mergeCell ref="AX299:AY299"/>
    <mergeCell ref="AZ299:BD299"/>
    <mergeCell ref="BE299:BF299"/>
    <mergeCell ref="BZ298:CA298"/>
    <mergeCell ref="F299:I299"/>
    <mergeCell ref="J299:N299"/>
    <mergeCell ref="O299:P299"/>
    <mergeCell ref="Q299:U299"/>
    <mergeCell ref="V299:W299"/>
    <mergeCell ref="X299:AB299"/>
    <mergeCell ref="AC299:AD299"/>
    <mergeCell ref="AE299:AI299"/>
    <mergeCell ref="AJ299:AK299"/>
    <mergeCell ref="BE298:BF298"/>
    <mergeCell ref="BG298:BK298"/>
    <mergeCell ref="BL298:BM298"/>
    <mergeCell ref="BN298:BR298"/>
    <mergeCell ref="BS298:BT298"/>
    <mergeCell ref="BU298:BY298"/>
    <mergeCell ref="AJ298:AK298"/>
    <mergeCell ref="AL298:AP298"/>
    <mergeCell ref="AQ298:AR298"/>
    <mergeCell ref="V292:Z292"/>
    <mergeCell ref="AX298:AY298"/>
    <mergeCell ref="AZ298:BD298"/>
    <mergeCell ref="BZ296:CA297"/>
    <mergeCell ref="B298:E300"/>
    <mergeCell ref="F298:I298"/>
    <mergeCell ref="J298:N298"/>
    <mergeCell ref="O298:P298"/>
    <mergeCell ref="Q298:U298"/>
    <mergeCell ref="V298:W298"/>
    <mergeCell ref="X298:AB298"/>
    <mergeCell ref="AC298:AD298"/>
    <mergeCell ref="AE298:AI298"/>
    <mergeCell ref="BE296:BF297"/>
    <mergeCell ref="BG296:BK297"/>
    <mergeCell ref="BL296:BM297"/>
    <mergeCell ref="BN296:BR297"/>
    <mergeCell ref="BS296:BT297"/>
    <mergeCell ref="BU296:BY297"/>
    <mergeCell ref="AJ296:AK297"/>
    <mergeCell ref="AL296:AP297"/>
    <mergeCell ref="AQ296:AR297"/>
    <mergeCell ref="AS296:AW297"/>
    <mergeCell ref="AX296:AY297"/>
    <mergeCell ref="AZ296:BD297"/>
    <mergeCell ref="B295:E297"/>
    <mergeCell ref="F295:I297"/>
    <mergeCell ref="J295:CA295"/>
    <mergeCell ref="J296:N297"/>
    <mergeCell ref="O296:P297"/>
    <mergeCell ref="Q296:U297"/>
    <mergeCell ref="V296:W297"/>
    <mergeCell ref="F291:I291"/>
    <mergeCell ref="J291:N291"/>
    <mergeCell ref="O291:S291"/>
    <mergeCell ref="T291:U291"/>
    <mergeCell ref="V291:Z291"/>
    <mergeCell ref="AC289:AG289"/>
    <mergeCell ref="AH289:AI289"/>
    <mergeCell ref="AJ289:AN289"/>
    <mergeCell ref="AO289:AP289"/>
    <mergeCell ref="B290:E292"/>
    <mergeCell ref="F290:I290"/>
    <mergeCell ref="J290:N290"/>
    <mergeCell ref="O290:S290"/>
    <mergeCell ref="T290:U290"/>
    <mergeCell ref="V290:Z290"/>
    <mergeCell ref="AC296:AD297"/>
    <mergeCell ref="AE296:AI297"/>
    <mergeCell ref="AA292:AB292"/>
    <mergeCell ref="AC292:AG292"/>
    <mergeCell ref="AH292:AI292"/>
    <mergeCell ref="AJ292:AN292"/>
    <mergeCell ref="AO292:AP292"/>
    <mergeCell ref="C294:T294"/>
    <mergeCell ref="AA291:AB291"/>
    <mergeCell ref="AC291:AG291"/>
    <mergeCell ref="AH291:AI291"/>
    <mergeCell ref="AJ291:AN291"/>
    <mergeCell ref="AO291:AP291"/>
    <mergeCell ref="F292:I292"/>
    <mergeCell ref="J292:N292"/>
    <mergeCell ref="O292:S292"/>
    <mergeCell ref="T292:U292"/>
    <mergeCell ref="O289:S289"/>
    <mergeCell ref="T289:U289"/>
    <mergeCell ref="V289:Z289"/>
    <mergeCell ref="AA289:AB289"/>
    <mergeCell ref="F288:I288"/>
    <mergeCell ref="J288:N288"/>
    <mergeCell ref="O288:S288"/>
    <mergeCell ref="T288:U288"/>
    <mergeCell ref="V288:Z288"/>
    <mergeCell ref="AA288:AB288"/>
    <mergeCell ref="V287:Z287"/>
    <mergeCell ref="AA287:AB287"/>
    <mergeCell ref="AC287:AG287"/>
    <mergeCell ref="AH287:AI287"/>
    <mergeCell ref="AJ287:AN287"/>
    <mergeCell ref="AO287:AP287"/>
    <mergeCell ref="AA290:AB290"/>
    <mergeCell ref="AC290:AG290"/>
    <mergeCell ref="AH290:AI290"/>
    <mergeCell ref="AJ290:AN290"/>
    <mergeCell ref="AO290:AP290"/>
    <mergeCell ref="B284:E286"/>
    <mergeCell ref="F284:I284"/>
    <mergeCell ref="J284:N284"/>
    <mergeCell ref="O284:S284"/>
    <mergeCell ref="T284:U284"/>
    <mergeCell ref="V284:Z284"/>
    <mergeCell ref="AA286:AB286"/>
    <mergeCell ref="AC286:AG286"/>
    <mergeCell ref="AH286:AI286"/>
    <mergeCell ref="AJ286:AN286"/>
    <mergeCell ref="AO286:AP286"/>
    <mergeCell ref="B287:E289"/>
    <mergeCell ref="F287:I287"/>
    <mergeCell ref="J287:N287"/>
    <mergeCell ref="O287:S287"/>
    <mergeCell ref="T287:U287"/>
    <mergeCell ref="AA285:AB285"/>
    <mergeCell ref="AC285:AG285"/>
    <mergeCell ref="AH285:AI285"/>
    <mergeCell ref="AJ285:AN285"/>
    <mergeCell ref="AO285:AP285"/>
    <mergeCell ref="F286:I286"/>
    <mergeCell ref="J286:N286"/>
    <mergeCell ref="O286:S286"/>
    <mergeCell ref="T286:U286"/>
    <mergeCell ref="V286:Z286"/>
    <mergeCell ref="AC288:AG288"/>
    <mergeCell ref="AH288:AI288"/>
    <mergeCell ref="AJ288:AN288"/>
    <mergeCell ref="AO288:AP288"/>
    <mergeCell ref="F289:I289"/>
    <mergeCell ref="J289:N289"/>
    <mergeCell ref="AA281:AB281"/>
    <mergeCell ref="AC281:AG281"/>
    <mergeCell ref="AH281:AI281"/>
    <mergeCell ref="AJ281:AN281"/>
    <mergeCell ref="AO281:AP281"/>
    <mergeCell ref="AA284:AB284"/>
    <mergeCell ref="AC284:AG284"/>
    <mergeCell ref="AH284:AI284"/>
    <mergeCell ref="AJ284:AN284"/>
    <mergeCell ref="AO284:AP284"/>
    <mergeCell ref="F285:I285"/>
    <mergeCell ref="J285:N285"/>
    <mergeCell ref="O285:S285"/>
    <mergeCell ref="T285:U285"/>
    <mergeCell ref="V285:Z285"/>
    <mergeCell ref="AC283:AG283"/>
    <mergeCell ref="AH283:AI283"/>
    <mergeCell ref="AJ283:AN283"/>
    <mergeCell ref="AO283:AP283"/>
    <mergeCell ref="B281:E283"/>
    <mergeCell ref="F281:I281"/>
    <mergeCell ref="J281:N281"/>
    <mergeCell ref="O281:S281"/>
    <mergeCell ref="T281:U281"/>
    <mergeCell ref="AA279:AB279"/>
    <mergeCell ref="AC279:AG279"/>
    <mergeCell ref="AH279:AI279"/>
    <mergeCell ref="AJ279:AN279"/>
    <mergeCell ref="AO279:AP279"/>
    <mergeCell ref="F280:I280"/>
    <mergeCell ref="J280:N280"/>
    <mergeCell ref="O280:S280"/>
    <mergeCell ref="T280:U280"/>
    <mergeCell ref="V280:Z280"/>
    <mergeCell ref="AC282:AG282"/>
    <mergeCell ref="AH282:AI282"/>
    <mergeCell ref="AJ282:AN282"/>
    <mergeCell ref="AO282:AP282"/>
    <mergeCell ref="F283:I283"/>
    <mergeCell ref="J283:N283"/>
    <mergeCell ref="O283:S283"/>
    <mergeCell ref="T283:U283"/>
    <mergeCell ref="V283:Z283"/>
    <mergeCell ref="AA283:AB283"/>
    <mergeCell ref="F282:I282"/>
    <mergeCell ref="J282:N282"/>
    <mergeCell ref="O282:S282"/>
    <mergeCell ref="T282:U282"/>
    <mergeCell ref="V282:Z282"/>
    <mergeCell ref="AA282:AB282"/>
    <mergeCell ref="V281:Z281"/>
    <mergeCell ref="F279:I279"/>
    <mergeCell ref="J279:N279"/>
    <mergeCell ref="O279:S279"/>
    <mergeCell ref="T279:U279"/>
    <mergeCell ref="V279:Z279"/>
    <mergeCell ref="AC277:AG277"/>
    <mergeCell ref="AH277:AI277"/>
    <mergeCell ref="AJ277:AN277"/>
    <mergeCell ref="AO277:AP277"/>
    <mergeCell ref="B278:E280"/>
    <mergeCell ref="F278:I278"/>
    <mergeCell ref="J278:N278"/>
    <mergeCell ref="O278:S278"/>
    <mergeCell ref="T278:U278"/>
    <mergeCell ref="V278:Z278"/>
    <mergeCell ref="AA280:AB280"/>
    <mergeCell ref="AC280:AG280"/>
    <mergeCell ref="AH280:AI280"/>
    <mergeCell ref="AJ280:AN280"/>
    <mergeCell ref="AO280:AP280"/>
    <mergeCell ref="O277:S277"/>
    <mergeCell ref="T277:U277"/>
    <mergeCell ref="V277:Z277"/>
    <mergeCell ref="AA277:AB277"/>
    <mergeCell ref="F276:I276"/>
    <mergeCell ref="J276:N276"/>
    <mergeCell ref="O276:S276"/>
    <mergeCell ref="T276:U276"/>
    <mergeCell ref="V276:Z276"/>
    <mergeCell ref="AA276:AB276"/>
    <mergeCell ref="V275:Z275"/>
    <mergeCell ref="AA275:AB275"/>
    <mergeCell ref="AC275:AG275"/>
    <mergeCell ref="AH275:AI275"/>
    <mergeCell ref="AJ275:AN275"/>
    <mergeCell ref="AO275:AP275"/>
    <mergeCell ref="AA278:AB278"/>
    <mergeCell ref="AC278:AG278"/>
    <mergeCell ref="AH278:AI278"/>
    <mergeCell ref="AJ278:AN278"/>
    <mergeCell ref="AO278:AP278"/>
    <mergeCell ref="B272:E274"/>
    <mergeCell ref="F272:I272"/>
    <mergeCell ref="J272:N272"/>
    <mergeCell ref="O272:S272"/>
    <mergeCell ref="T272:U272"/>
    <mergeCell ref="V272:Z272"/>
    <mergeCell ref="AA274:AB274"/>
    <mergeCell ref="AC274:AG274"/>
    <mergeCell ref="AH274:AI274"/>
    <mergeCell ref="AJ274:AN274"/>
    <mergeCell ref="AO274:AP274"/>
    <mergeCell ref="B275:E277"/>
    <mergeCell ref="F275:I275"/>
    <mergeCell ref="J275:N275"/>
    <mergeCell ref="O275:S275"/>
    <mergeCell ref="T275:U275"/>
    <mergeCell ref="AA273:AB273"/>
    <mergeCell ref="AC273:AG273"/>
    <mergeCell ref="AH273:AI273"/>
    <mergeCell ref="AJ273:AN273"/>
    <mergeCell ref="AO273:AP273"/>
    <mergeCell ref="F274:I274"/>
    <mergeCell ref="J274:N274"/>
    <mergeCell ref="O274:S274"/>
    <mergeCell ref="T274:U274"/>
    <mergeCell ref="V274:Z274"/>
    <mergeCell ref="AC276:AG276"/>
    <mergeCell ref="AH276:AI276"/>
    <mergeCell ref="AJ276:AN276"/>
    <mergeCell ref="AO276:AP276"/>
    <mergeCell ref="F277:I277"/>
    <mergeCell ref="J277:N277"/>
    <mergeCell ref="AA269:AB269"/>
    <mergeCell ref="AC269:AG269"/>
    <mergeCell ref="AH269:AI269"/>
    <mergeCell ref="AJ269:AN269"/>
    <mergeCell ref="AO269:AP269"/>
    <mergeCell ref="AA272:AB272"/>
    <mergeCell ref="AC272:AG272"/>
    <mergeCell ref="AH272:AI272"/>
    <mergeCell ref="AJ272:AN272"/>
    <mergeCell ref="AO272:AP272"/>
    <mergeCell ref="F273:I273"/>
    <mergeCell ref="J273:N273"/>
    <mergeCell ref="O273:S273"/>
    <mergeCell ref="T273:U273"/>
    <mergeCell ref="V273:Z273"/>
    <mergeCell ref="AC271:AG271"/>
    <mergeCell ref="AH271:AI271"/>
    <mergeCell ref="AJ271:AN271"/>
    <mergeCell ref="AO271:AP271"/>
    <mergeCell ref="B269:E271"/>
    <mergeCell ref="F269:I269"/>
    <mergeCell ref="J269:N269"/>
    <mergeCell ref="O269:S269"/>
    <mergeCell ref="T269:U269"/>
    <mergeCell ref="AA267:AB267"/>
    <mergeCell ref="AC267:AG267"/>
    <mergeCell ref="AH267:AI267"/>
    <mergeCell ref="AJ267:AN267"/>
    <mergeCell ref="AO267:AP267"/>
    <mergeCell ref="F268:I268"/>
    <mergeCell ref="J268:N268"/>
    <mergeCell ref="O268:S268"/>
    <mergeCell ref="T268:U268"/>
    <mergeCell ref="V268:Z268"/>
    <mergeCell ref="AC270:AG270"/>
    <mergeCell ref="AH270:AI270"/>
    <mergeCell ref="AJ270:AN270"/>
    <mergeCell ref="AO270:AP270"/>
    <mergeCell ref="F271:I271"/>
    <mergeCell ref="J271:N271"/>
    <mergeCell ref="O271:S271"/>
    <mergeCell ref="T271:U271"/>
    <mergeCell ref="V271:Z271"/>
    <mergeCell ref="AA271:AB271"/>
    <mergeCell ref="F270:I270"/>
    <mergeCell ref="J270:N270"/>
    <mergeCell ref="O270:S270"/>
    <mergeCell ref="T270:U270"/>
    <mergeCell ref="V270:Z270"/>
    <mergeCell ref="AA270:AB270"/>
    <mergeCell ref="V269:Z269"/>
    <mergeCell ref="B189:E192"/>
    <mergeCell ref="F189:I192"/>
    <mergeCell ref="J189:AR189"/>
    <mergeCell ref="B193:E195"/>
    <mergeCell ref="F193:I193"/>
    <mergeCell ref="J193:N193"/>
    <mergeCell ref="AA266:AB266"/>
    <mergeCell ref="AC266:AG266"/>
    <mergeCell ref="AH266:AI266"/>
    <mergeCell ref="AJ266:AN266"/>
    <mergeCell ref="AO266:AP266"/>
    <mergeCell ref="F267:I267"/>
    <mergeCell ref="J267:N267"/>
    <mergeCell ref="O267:S267"/>
    <mergeCell ref="T267:U267"/>
    <mergeCell ref="V267:Z267"/>
    <mergeCell ref="AC265:AG265"/>
    <mergeCell ref="AH265:AI265"/>
    <mergeCell ref="AJ265:AN265"/>
    <mergeCell ref="AO265:AP265"/>
    <mergeCell ref="B266:E268"/>
    <mergeCell ref="F266:I266"/>
    <mergeCell ref="J266:N266"/>
    <mergeCell ref="O266:S266"/>
    <mergeCell ref="T266:U266"/>
    <mergeCell ref="V266:Z266"/>
    <mergeCell ref="AA268:AB268"/>
    <mergeCell ref="AC268:AG268"/>
    <mergeCell ref="AH268:AI268"/>
    <mergeCell ref="AJ268:AN268"/>
    <mergeCell ref="AO268:AP268"/>
    <mergeCell ref="AC198:AD198"/>
    <mergeCell ref="R186:U186"/>
    <mergeCell ref="V186:Y186"/>
    <mergeCell ref="Z186:AC186"/>
    <mergeCell ref="AC264:AG264"/>
    <mergeCell ref="AH264:AI264"/>
    <mergeCell ref="AJ264:AN264"/>
    <mergeCell ref="AO264:AP264"/>
    <mergeCell ref="F265:I265"/>
    <mergeCell ref="J265:N265"/>
    <mergeCell ref="O265:S265"/>
    <mergeCell ref="T265:U265"/>
    <mergeCell ref="V265:Z265"/>
    <mergeCell ref="AA265:AB265"/>
    <mergeCell ref="F264:I264"/>
    <mergeCell ref="J264:N264"/>
    <mergeCell ref="O264:S264"/>
    <mergeCell ref="T264:U264"/>
    <mergeCell ref="V264:Z264"/>
    <mergeCell ref="AA264:AB264"/>
    <mergeCell ref="V263:Z263"/>
    <mergeCell ref="AA263:AB263"/>
    <mergeCell ref="AC263:AG263"/>
    <mergeCell ref="AH263:AI263"/>
    <mergeCell ref="AJ263:AN263"/>
    <mergeCell ref="AO263:AP263"/>
    <mergeCell ref="AE198:AI198"/>
    <mergeCell ref="AJ198:AK198"/>
    <mergeCell ref="AL198:AP198"/>
    <mergeCell ref="AC201:AD201"/>
    <mergeCell ref="AE201:AI201"/>
    <mergeCell ref="AJ201:AK201"/>
    <mergeCell ref="AL201:AP201"/>
    <mergeCell ref="B184:E186"/>
    <mergeCell ref="F184:I184"/>
    <mergeCell ref="N184:Q184"/>
    <mergeCell ref="R184:U184"/>
    <mergeCell ref="V184:Y184"/>
    <mergeCell ref="Z184:AC184"/>
    <mergeCell ref="AD184:AG184"/>
    <mergeCell ref="AH184:AK184"/>
    <mergeCell ref="AL184:AN184"/>
    <mergeCell ref="AA261:AB262"/>
    <mergeCell ref="AC261:AG262"/>
    <mergeCell ref="AH261:AI262"/>
    <mergeCell ref="AJ261:AN262"/>
    <mergeCell ref="AO261:AP262"/>
    <mergeCell ref="B263:E265"/>
    <mergeCell ref="F263:I263"/>
    <mergeCell ref="J263:N263"/>
    <mergeCell ref="O263:S263"/>
    <mergeCell ref="T263:U263"/>
    <mergeCell ref="AD186:AG186"/>
    <mergeCell ref="AH186:AK186"/>
    <mergeCell ref="AL186:AN186"/>
    <mergeCell ref="AO186:AQ186"/>
    <mergeCell ref="B261:E262"/>
    <mergeCell ref="F261:I262"/>
    <mergeCell ref="J261:N262"/>
    <mergeCell ref="O261:S262"/>
    <mergeCell ref="T261:U262"/>
    <mergeCell ref="V261:Z262"/>
    <mergeCell ref="F186:I186"/>
    <mergeCell ref="J186:M186"/>
    <mergeCell ref="N186:Q186"/>
    <mergeCell ref="AL183:AN183"/>
    <mergeCell ref="AH181:AK181"/>
    <mergeCell ref="AL181:AN181"/>
    <mergeCell ref="AO181:AQ181"/>
    <mergeCell ref="F182:I182"/>
    <mergeCell ref="N182:Q182"/>
    <mergeCell ref="R182:U182"/>
    <mergeCell ref="V182:Y182"/>
    <mergeCell ref="Z182:AC182"/>
    <mergeCell ref="AD182:AG182"/>
    <mergeCell ref="AH182:AK182"/>
    <mergeCell ref="AO184:AQ184"/>
    <mergeCell ref="F185:I185"/>
    <mergeCell ref="N185:Q185"/>
    <mergeCell ref="R185:U185"/>
    <mergeCell ref="V185:Y185"/>
    <mergeCell ref="Z185:AC185"/>
    <mergeCell ref="AD185:AG185"/>
    <mergeCell ref="AH185:AK185"/>
    <mergeCell ref="AL185:AN185"/>
    <mergeCell ref="AO185:AQ185"/>
    <mergeCell ref="AO183:AQ183"/>
    <mergeCell ref="B181:E183"/>
    <mergeCell ref="F181:I181"/>
    <mergeCell ref="N181:Q181"/>
    <mergeCell ref="R181:U181"/>
    <mergeCell ref="V181:Y181"/>
    <mergeCell ref="Z181:AC181"/>
    <mergeCell ref="AD181:AG181"/>
    <mergeCell ref="F180:I180"/>
    <mergeCell ref="N180:Q180"/>
    <mergeCell ref="R180:U180"/>
    <mergeCell ref="V180:Y180"/>
    <mergeCell ref="Z180:AC180"/>
    <mergeCell ref="AD180:AG180"/>
    <mergeCell ref="AO178:AQ178"/>
    <mergeCell ref="F179:I179"/>
    <mergeCell ref="N179:Q179"/>
    <mergeCell ref="R179:U179"/>
    <mergeCell ref="V179:Y179"/>
    <mergeCell ref="Z179:AC179"/>
    <mergeCell ref="AD179:AG179"/>
    <mergeCell ref="AH179:AK179"/>
    <mergeCell ref="AL179:AN179"/>
    <mergeCell ref="AO179:AQ179"/>
    <mergeCell ref="AL182:AN182"/>
    <mergeCell ref="AO182:AQ182"/>
    <mergeCell ref="F183:I183"/>
    <mergeCell ref="N183:Q183"/>
    <mergeCell ref="R183:U183"/>
    <mergeCell ref="V183:Y183"/>
    <mergeCell ref="Z183:AC183"/>
    <mergeCell ref="AD183:AG183"/>
    <mergeCell ref="AH183:AK183"/>
    <mergeCell ref="B178:E180"/>
    <mergeCell ref="F178:I178"/>
    <mergeCell ref="N178:Q178"/>
    <mergeCell ref="R178:U178"/>
    <mergeCell ref="V178:Y178"/>
    <mergeCell ref="Z178:AC178"/>
    <mergeCell ref="AD178:AG178"/>
    <mergeCell ref="AH178:AK178"/>
    <mergeCell ref="AL178:AN178"/>
    <mergeCell ref="AL176:AN176"/>
    <mergeCell ref="AO176:AQ176"/>
    <mergeCell ref="F177:I177"/>
    <mergeCell ref="N177:Q177"/>
    <mergeCell ref="R177:U177"/>
    <mergeCell ref="V177:Y177"/>
    <mergeCell ref="Z177:AC177"/>
    <mergeCell ref="AD177:AG177"/>
    <mergeCell ref="AH177:AK177"/>
    <mergeCell ref="AL177:AN177"/>
    <mergeCell ref="AH180:AK180"/>
    <mergeCell ref="AL180:AN180"/>
    <mergeCell ref="AO180:AQ180"/>
    <mergeCell ref="AH175:AK175"/>
    <mergeCell ref="AL175:AN175"/>
    <mergeCell ref="AO175:AQ175"/>
    <mergeCell ref="F176:I176"/>
    <mergeCell ref="N176:Q176"/>
    <mergeCell ref="R176:U176"/>
    <mergeCell ref="V176:Y176"/>
    <mergeCell ref="Z176:AC176"/>
    <mergeCell ref="AD176:AG176"/>
    <mergeCell ref="AH176:AK176"/>
    <mergeCell ref="AH174:AK174"/>
    <mergeCell ref="AL174:AN174"/>
    <mergeCell ref="AO174:AQ174"/>
    <mergeCell ref="B175:E177"/>
    <mergeCell ref="F175:I175"/>
    <mergeCell ref="N175:Q175"/>
    <mergeCell ref="R175:U175"/>
    <mergeCell ref="V175:Y175"/>
    <mergeCell ref="Z175:AC175"/>
    <mergeCell ref="AD175:AG175"/>
    <mergeCell ref="F174:I174"/>
    <mergeCell ref="N174:Q174"/>
    <mergeCell ref="R174:U174"/>
    <mergeCell ref="V174:Y174"/>
    <mergeCell ref="Z174:AC174"/>
    <mergeCell ref="AD174:AG174"/>
    <mergeCell ref="AO177:AQ177"/>
    <mergeCell ref="B172:E174"/>
    <mergeCell ref="F172:I172"/>
    <mergeCell ref="N172:Q172"/>
    <mergeCell ref="R172:U172"/>
    <mergeCell ref="V172:Y172"/>
    <mergeCell ref="AH171:AK171"/>
    <mergeCell ref="AL171:AN171"/>
    <mergeCell ref="AH169:AK169"/>
    <mergeCell ref="AL169:AN169"/>
    <mergeCell ref="AO169:AQ169"/>
    <mergeCell ref="F170:I170"/>
    <mergeCell ref="N170:Q170"/>
    <mergeCell ref="R170:U170"/>
    <mergeCell ref="V170:Y170"/>
    <mergeCell ref="Z170:AC170"/>
    <mergeCell ref="AD170:AG170"/>
    <mergeCell ref="AH170:AK170"/>
    <mergeCell ref="AO172:AQ172"/>
    <mergeCell ref="F173:I173"/>
    <mergeCell ref="N173:Q173"/>
    <mergeCell ref="R173:U173"/>
    <mergeCell ref="V173:Y173"/>
    <mergeCell ref="Z173:AC173"/>
    <mergeCell ref="AD173:AG173"/>
    <mergeCell ref="AH173:AK173"/>
    <mergeCell ref="AL173:AN173"/>
    <mergeCell ref="AO173:AQ173"/>
    <mergeCell ref="AO171:AQ171"/>
    <mergeCell ref="AD172:AG172"/>
    <mergeCell ref="AH172:AK172"/>
    <mergeCell ref="AL172:AN172"/>
    <mergeCell ref="Z172:AC172"/>
    <mergeCell ref="AO168:AQ168"/>
    <mergeCell ref="B169:E171"/>
    <mergeCell ref="F169:I169"/>
    <mergeCell ref="N169:Q169"/>
    <mergeCell ref="R169:U169"/>
    <mergeCell ref="V169:Y169"/>
    <mergeCell ref="Z169:AC169"/>
    <mergeCell ref="AD169:AG169"/>
    <mergeCell ref="F168:I168"/>
    <mergeCell ref="N168:Q168"/>
    <mergeCell ref="R168:U168"/>
    <mergeCell ref="V168:Y168"/>
    <mergeCell ref="Z168:AC168"/>
    <mergeCell ref="AD168:AG168"/>
    <mergeCell ref="AO166:AQ166"/>
    <mergeCell ref="F167:I167"/>
    <mergeCell ref="N167:Q167"/>
    <mergeCell ref="R167:U167"/>
    <mergeCell ref="V167:Y167"/>
    <mergeCell ref="Z167:AC167"/>
    <mergeCell ref="AD167:AG167"/>
    <mergeCell ref="AH167:AK167"/>
    <mergeCell ref="AL167:AN167"/>
    <mergeCell ref="AO167:AQ167"/>
    <mergeCell ref="AL170:AN170"/>
    <mergeCell ref="AO170:AQ170"/>
    <mergeCell ref="F171:I171"/>
    <mergeCell ref="N171:Q171"/>
    <mergeCell ref="R171:U171"/>
    <mergeCell ref="V171:Y171"/>
    <mergeCell ref="Z171:AC171"/>
    <mergeCell ref="AD171:AG171"/>
    <mergeCell ref="B160:E162"/>
    <mergeCell ref="F160:I160"/>
    <mergeCell ref="N160:Q160"/>
    <mergeCell ref="R160:U160"/>
    <mergeCell ref="V160:Y160"/>
    <mergeCell ref="AD161:AG161"/>
    <mergeCell ref="AH161:AK161"/>
    <mergeCell ref="AL161:AN161"/>
    <mergeCell ref="AO161:AQ161"/>
    <mergeCell ref="F162:I162"/>
    <mergeCell ref="N162:Q162"/>
    <mergeCell ref="B166:E168"/>
    <mergeCell ref="F166:I166"/>
    <mergeCell ref="N166:Q166"/>
    <mergeCell ref="R166:U166"/>
    <mergeCell ref="V166:Y166"/>
    <mergeCell ref="Z166:AC166"/>
    <mergeCell ref="AD166:AG166"/>
    <mergeCell ref="AH166:AK166"/>
    <mergeCell ref="AL166:AN166"/>
    <mergeCell ref="AL164:AN164"/>
    <mergeCell ref="AO164:AQ164"/>
    <mergeCell ref="F165:I165"/>
    <mergeCell ref="N165:Q165"/>
    <mergeCell ref="R165:U165"/>
    <mergeCell ref="V165:Y165"/>
    <mergeCell ref="Z165:AC165"/>
    <mergeCell ref="AD165:AG165"/>
    <mergeCell ref="AH165:AK165"/>
    <mergeCell ref="AL165:AN165"/>
    <mergeCell ref="AH168:AK168"/>
    <mergeCell ref="AL168:AN168"/>
    <mergeCell ref="B157:E159"/>
    <mergeCell ref="F157:I157"/>
    <mergeCell ref="J157:M157"/>
    <mergeCell ref="N157:Q157"/>
    <mergeCell ref="R157:U157"/>
    <mergeCell ref="V157:Y157"/>
    <mergeCell ref="Z159:AC159"/>
    <mergeCell ref="AD159:AG159"/>
    <mergeCell ref="AH159:AK159"/>
    <mergeCell ref="AL159:AN159"/>
    <mergeCell ref="AO159:AQ159"/>
    <mergeCell ref="AH163:AK163"/>
    <mergeCell ref="AL163:AN163"/>
    <mergeCell ref="AO163:AQ163"/>
    <mergeCell ref="F164:I164"/>
    <mergeCell ref="N164:Q164"/>
    <mergeCell ref="R164:U164"/>
    <mergeCell ref="V164:Y164"/>
    <mergeCell ref="Z164:AC164"/>
    <mergeCell ref="AD164:AG164"/>
    <mergeCell ref="AH164:AK164"/>
    <mergeCell ref="AH162:AK162"/>
    <mergeCell ref="AL162:AN162"/>
    <mergeCell ref="AO162:AQ162"/>
    <mergeCell ref="B163:E165"/>
    <mergeCell ref="F163:I163"/>
    <mergeCell ref="N163:Q163"/>
    <mergeCell ref="R163:U163"/>
    <mergeCell ref="V163:Y163"/>
    <mergeCell ref="Z163:AC163"/>
    <mergeCell ref="AD163:AG163"/>
    <mergeCell ref="AO165:AQ165"/>
    <mergeCell ref="AL158:AN158"/>
    <mergeCell ref="AO158:AQ158"/>
    <mergeCell ref="F159:I159"/>
    <mergeCell ref="J159:M159"/>
    <mergeCell ref="N159:Q159"/>
    <mergeCell ref="R159:U159"/>
    <mergeCell ref="V159:Y159"/>
    <mergeCell ref="R162:U162"/>
    <mergeCell ref="V162:Y162"/>
    <mergeCell ref="Z162:AC162"/>
    <mergeCell ref="AD162:AG162"/>
    <mergeCell ref="Z160:AC160"/>
    <mergeCell ref="AD160:AG160"/>
    <mergeCell ref="AH160:AK160"/>
    <mergeCell ref="AL160:AN160"/>
    <mergeCell ref="AO160:AQ160"/>
    <mergeCell ref="F161:I161"/>
    <mergeCell ref="N161:Q161"/>
    <mergeCell ref="R161:U161"/>
    <mergeCell ref="V161:Y161"/>
    <mergeCell ref="Z161:AC161"/>
    <mergeCell ref="AO149:AQ149"/>
    <mergeCell ref="F150:I150"/>
    <mergeCell ref="N150:Q150"/>
    <mergeCell ref="R150:U150"/>
    <mergeCell ref="V150:Y150"/>
    <mergeCell ref="Z150:AC150"/>
    <mergeCell ref="AD150:AG150"/>
    <mergeCell ref="Z157:AC157"/>
    <mergeCell ref="AD157:AG157"/>
    <mergeCell ref="AH157:AK157"/>
    <mergeCell ref="AL157:AN157"/>
    <mergeCell ref="AO157:AQ157"/>
    <mergeCell ref="F158:I158"/>
    <mergeCell ref="J158:M158"/>
    <mergeCell ref="N158:Q158"/>
    <mergeCell ref="R158:U158"/>
    <mergeCell ref="V158:Y158"/>
    <mergeCell ref="AD155:AG156"/>
    <mergeCell ref="AH155:AK156"/>
    <mergeCell ref="AL155:AN156"/>
    <mergeCell ref="AO155:AQ156"/>
    <mergeCell ref="B154:AQ154"/>
    <mergeCell ref="B155:E156"/>
    <mergeCell ref="F155:I156"/>
    <mergeCell ref="J155:M156"/>
    <mergeCell ref="N155:Q156"/>
    <mergeCell ref="R155:U156"/>
    <mergeCell ref="V155:Y156"/>
    <mergeCell ref="Z155:AC156"/>
    <mergeCell ref="Z158:AC158"/>
    <mergeCell ref="AD158:AG158"/>
    <mergeCell ref="AH158:AK158"/>
    <mergeCell ref="B149:E151"/>
    <mergeCell ref="F149:I149"/>
    <mergeCell ref="N149:Q149"/>
    <mergeCell ref="R149:U149"/>
    <mergeCell ref="V149:Y149"/>
    <mergeCell ref="Z149:AC149"/>
    <mergeCell ref="AO147:AQ147"/>
    <mergeCell ref="F148:I148"/>
    <mergeCell ref="N148:Q148"/>
    <mergeCell ref="R148:U148"/>
    <mergeCell ref="V148:Y148"/>
    <mergeCell ref="Z148:AC148"/>
    <mergeCell ref="AD148:AG148"/>
    <mergeCell ref="AH148:AK148"/>
    <mergeCell ref="AL148:AN148"/>
    <mergeCell ref="AO148:AQ148"/>
    <mergeCell ref="AH151:AK151"/>
    <mergeCell ref="AL151:AN151"/>
    <mergeCell ref="AO151:AQ151"/>
    <mergeCell ref="AH150:AK150"/>
    <mergeCell ref="AL150:AN150"/>
    <mergeCell ref="AO150:AQ150"/>
    <mergeCell ref="F151:I151"/>
    <mergeCell ref="J151:M151"/>
    <mergeCell ref="N151:Q151"/>
    <mergeCell ref="R151:U151"/>
    <mergeCell ref="V151:Y151"/>
    <mergeCell ref="Z151:AC151"/>
    <mergeCell ref="AD151:AG151"/>
    <mergeCell ref="AD149:AG149"/>
    <mergeCell ref="AH149:AK149"/>
    <mergeCell ref="AL149:AN149"/>
    <mergeCell ref="AL146:AN146"/>
    <mergeCell ref="AO146:AQ146"/>
    <mergeCell ref="F147:I147"/>
    <mergeCell ref="N147:Q147"/>
    <mergeCell ref="R147:U147"/>
    <mergeCell ref="V147:Y147"/>
    <mergeCell ref="Z147:AC147"/>
    <mergeCell ref="AD147:AG147"/>
    <mergeCell ref="AH147:AK147"/>
    <mergeCell ref="AL147:AN147"/>
    <mergeCell ref="AL145:AN145"/>
    <mergeCell ref="AO145:AQ145"/>
    <mergeCell ref="B146:E148"/>
    <mergeCell ref="F146:I146"/>
    <mergeCell ref="N146:Q146"/>
    <mergeCell ref="R146:U146"/>
    <mergeCell ref="V146:Y146"/>
    <mergeCell ref="Z146:AC146"/>
    <mergeCell ref="AD146:AG146"/>
    <mergeCell ref="AH146:AK146"/>
    <mergeCell ref="B143:E145"/>
    <mergeCell ref="R141:U141"/>
    <mergeCell ref="V141:Y141"/>
    <mergeCell ref="Z141:AC141"/>
    <mergeCell ref="AD141:AG141"/>
    <mergeCell ref="AH141:AK141"/>
    <mergeCell ref="AL141:AN141"/>
    <mergeCell ref="AH144:AK144"/>
    <mergeCell ref="AL144:AN144"/>
    <mergeCell ref="AO144:AQ144"/>
    <mergeCell ref="F145:I145"/>
    <mergeCell ref="N145:Q145"/>
    <mergeCell ref="R145:U145"/>
    <mergeCell ref="V145:Y145"/>
    <mergeCell ref="Z145:AC145"/>
    <mergeCell ref="AD145:AG145"/>
    <mergeCell ref="AH145:AK145"/>
    <mergeCell ref="AD143:AG143"/>
    <mergeCell ref="AH143:AK143"/>
    <mergeCell ref="AL143:AN143"/>
    <mergeCell ref="AO143:AQ143"/>
    <mergeCell ref="F144:I144"/>
    <mergeCell ref="N144:Q144"/>
    <mergeCell ref="R144:U144"/>
    <mergeCell ref="V144:Y144"/>
    <mergeCell ref="Z144:AC144"/>
    <mergeCell ref="AD144:AG144"/>
    <mergeCell ref="F143:I143"/>
    <mergeCell ref="N143:Q143"/>
    <mergeCell ref="R143:U143"/>
    <mergeCell ref="V143:Y143"/>
    <mergeCell ref="Z143:AC143"/>
    <mergeCell ref="B140:E142"/>
    <mergeCell ref="F140:I140"/>
    <mergeCell ref="N140:Q140"/>
    <mergeCell ref="R140:U140"/>
    <mergeCell ref="V140:Y140"/>
    <mergeCell ref="Z140:AC140"/>
    <mergeCell ref="AD140:AG140"/>
    <mergeCell ref="AH140:AK140"/>
    <mergeCell ref="AH138:AK138"/>
    <mergeCell ref="AL138:AN138"/>
    <mergeCell ref="AO138:AQ138"/>
    <mergeCell ref="F139:I139"/>
    <mergeCell ref="N139:Q139"/>
    <mergeCell ref="R139:U139"/>
    <mergeCell ref="V139:Y139"/>
    <mergeCell ref="Z139:AC139"/>
    <mergeCell ref="AD139:AG139"/>
    <mergeCell ref="AH139:AK139"/>
    <mergeCell ref="AO141:AQ141"/>
    <mergeCell ref="F142:I142"/>
    <mergeCell ref="N142:Q142"/>
    <mergeCell ref="R142:U142"/>
    <mergeCell ref="V142:Y142"/>
    <mergeCell ref="Z142:AC142"/>
    <mergeCell ref="AD142:AG142"/>
    <mergeCell ref="AH142:AK142"/>
    <mergeCell ref="AL142:AN142"/>
    <mergeCell ref="AO142:AQ142"/>
    <mergeCell ref="AL140:AN140"/>
    <mergeCell ref="AO140:AQ140"/>
    <mergeCell ref="F141:I141"/>
    <mergeCell ref="N141:Q141"/>
    <mergeCell ref="AD137:AG137"/>
    <mergeCell ref="AH137:AK137"/>
    <mergeCell ref="AL137:AN137"/>
    <mergeCell ref="AO137:AQ137"/>
    <mergeCell ref="F138:I138"/>
    <mergeCell ref="N138:Q138"/>
    <mergeCell ref="R138:U138"/>
    <mergeCell ref="V138:Y138"/>
    <mergeCell ref="Z138:AC138"/>
    <mergeCell ref="AD138:AG138"/>
    <mergeCell ref="B137:E139"/>
    <mergeCell ref="F137:I137"/>
    <mergeCell ref="N137:Q137"/>
    <mergeCell ref="R137:U137"/>
    <mergeCell ref="V137:Y137"/>
    <mergeCell ref="Z137:AC137"/>
    <mergeCell ref="AO135:AQ135"/>
    <mergeCell ref="F136:I136"/>
    <mergeCell ref="N136:Q136"/>
    <mergeCell ref="R136:U136"/>
    <mergeCell ref="V136:Y136"/>
    <mergeCell ref="Z136:AC136"/>
    <mergeCell ref="AD136:AG136"/>
    <mergeCell ref="AH136:AK136"/>
    <mergeCell ref="AL136:AN136"/>
    <mergeCell ref="AO136:AQ136"/>
    <mergeCell ref="AL139:AN139"/>
    <mergeCell ref="AO139:AQ139"/>
    <mergeCell ref="AL134:AN134"/>
    <mergeCell ref="AO134:AQ134"/>
    <mergeCell ref="F135:I135"/>
    <mergeCell ref="N135:Q135"/>
    <mergeCell ref="R135:U135"/>
    <mergeCell ref="V135:Y135"/>
    <mergeCell ref="Z135:AC135"/>
    <mergeCell ref="AD135:AG135"/>
    <mergeCell ref="AH135:AK135"/>
    <mergeCell ref="AL135:AN135"/>
    <mergeCell ref="AL133:AN133"/>
    <mergeCell ref="AO133:AQ133"/>
    <mergeCell ref="B134:E136"/>
    <mergeCell ref="F134:I134"/>
    <mergeCell ref="N134:Q134"/>
    <mergeCell ref="R134:U134"/>
    <mergeCell ref="V134:Y134"/>
    <mergeCell ref="Z134:AC134"/>
    <mergeCell ref="AD134:AG134"/>
    <mergeCell ref="AH134:AK134"/>
    <mergeCell ref="B131:E133"/>
    <mergeCell ref="R129:U129"/>
    <mergeCell ref="V129:Y129"/>
    <mergeCell ref="Z129:AC129"/>
    <mergeCell ref="AD129:AG129"/>
    <mergeCell ref="AH129:AK129"/>
    <mergeCell ref="AL129:AN129"/>
    <mergeCell ref="AH132:AK132"/>
    <mergeCell ref="AL132:AN132"/>
    <mergeCell ref="AO132:AQ132"/>
    <mergeCell ref="F133:I133"/>
    <mergeCell ref="N133:Q133"/>
    <mergeCell ref="R133:U133"/>
    <mergeCell ref="V133:Y133"/>
    <mergeCell ref="Z133:AC133"/>
    <mergeCell ref="AD133:AG133"/>
    <mergeCell ref="AH133:AK133"/>
    <mergeCell ref="AD131:AG131"/>
    <mergeCell ref="AH131:AK131"/>
    <mergeCell ref="AL131:AN131"/>
    <mergeCell ref="AO131:AQ131"/>
    <mergeCell ref="F132:I132"/>
    <mergeCell ref="N132:Q132"/>
    <mergeCell ref="R132:U132"/>
    <mergeCell ref="V132:Y132"/>
    <mergeCell ref="Z132:AC132"/>
    <mergeCell ref="AD132:AG132"/>
    <mergeCell ref="F131:I131"/>
    <mergeCell ref="N131:Q131"/>
    <mergeCell ref="R131:U131"/>
    <mergeCell ref="V131:Y131"/>
    <mergeCell ref="Z131:AC131"/>
    <mergeCell ref="B128:E130"/>
    <mergeCell ref="F128:I128"/>
    <mergeCell ref="N128:Q128"/>
    <mergeCell ref="R128:U128"/>
    <mergeCell ref="V128:Y128"/>
    <mergeCell ref="Z128:AC128"/>
    <mergeCell ref="AD128:AG128"/>
    <mergeCell ref="AH128:AK128"/>
    <mergeCell ref="AH126:AK126"/>
    <mergeCell ref="AL126:AN126"/>
    <mergeCell ref="AO126:AQ126"/>
    <mergeCell ref="F127:I127"/>
    <mergeCell ref="N127:Q127"/>
    <mergeCell ref="R127:U127"/>
    <mergeCell ref="V127:Y127"/>
    <mergeCell ref="Z127:AC127"/>
    <mergeCell ref="AD127:AG127"/>
    <mergeCell ref="AH127:AK127"/>
    <mergeCell ref="AO129:AQ129"/>
    <mergeCell ref="F130:I130"/>
    <mergeCell ref="N130:Q130"/>
    <mergeCell ref="R130:U130"/>
    <mergeCell ref="V130:Y130"/>
    <mergeCell ref="Z130:AC130"/>
    <mergeCell ref="AD130:AG130"/>
    <mergeCell ref="AH130:AK130"/>
    <mergeCell ref="AL130:AN130"/>
    <mergeCell ref="AO130:AQ130"/>
    <mergeCell ref="AL128:AN128"/>
    <mergeCell ref="AO128:AQ128"/>
    <mergeCell ref="F129:I129"/>
    <mergeCell ref="N129:Q129"/>
    <mergeCell ref="AD125:AG125"/>
    <mergeCell ref="AH125:AK125"/>
    <mergeCell ref="AL125:AN125"/>
    <mergeCell ref="AO125:AQ125"/>
    <mergeCell ref="F126:I126"/>
    <mergeCell ref="N126:Q126"/>
    <mergeCell ref="R126:U126"/>
    <mergeCell ref="V126:Y126"/>
    <mergeCell ref="Z126:AC126"/>
    <mergeCell ref="AD126:AG126"/>
    <mergeCell ref="AD124:AG124"/>
    <mergeCell ref="AH124:AK124"/>
    <mergeCell ref="AL124:AN124"/>
    <mergeCell ref="AO124:AQ124"/>
    <mergeCell ref="B125:E127"/>
    <mergeCell ref="F125:I125"/>
    <mergeCell ref="N125:Q125"/>
    <mergeCell ref="R125:U125"/>
    <mergeCell ref="V125:Y125"/>
    <mergeCell ref="Z125:AC125"/>
    <mergeCell ref="AL127:AN127"/>
    <mergeCell ref="AO127:AQ127"/>
    <mergeCell ref="N124:Q124"/>
    <mergeCell ref="R124:U124"/>
    <mergeCell ref="V124:Y124"/>
    <mergeCell ref="Z124:AC124"/>
    <mergeCell ref="J125:M125"/>
    <mergeCell ref="J126:M126"/>
    <mergeCell ref="J127:M127"/>
    <mergeCell ref="B115:E117"/>
    <mergeCell ref="F115:I115"/>
    <mergeCell ref="N115:Q115"/>
    <mergeCell ref="R115:U115"/>
    <mergeCell ref="V115:Y115"/>
    <mergeCell ref="Z115:AC115"/>
    <mergeCell ref="AD117:AG117"/>
    <mergeCell ref="AH117:AK117"/>
    <mergeCell ref="AL117:AN117"/>
    <mergeCell ref="AO117:AQ117"/>
    <mergeCell ref="B120:E121"/>
    <mergeCell ref="F120:I121"/>
    <mergeCell ref="J120:M121"/>
    <mergeCell ref="N120:Q121"/>
    <mergeCell ref="R120:U121"/>
    <mergeCell ref="V120:Y121"/>
    <mergeCell ref="F117:I117"/>
    <mergeCell ref="J117:M117"/>
    <mergeCell ref="N117:Q117"/>
    <mergeCell ref="R117:U117"/>
    <mergeCell ref="V117:Y117"/>
    <mergeCell ref="Z117:AC117"/>
    <mergeCell ref="AD123:AG123"/>
    <mergeCell ref="AH123:AK123"/>
    <mergeCell ref="AL123:AN123"/>
    <mergeCell ref="AO123:AQ123"/>
    <mergeCell ref="F123:I123"/>
    <mergeCell ref="J123:M123"/>
    <mergeCell ref="N123:Q123"/>
    <mergeCell ref="R123:U123"/>
    <mergeCell ref="V123:Y123"/>
    <mergeCell ref="Z123:AC123"/>
    <mergeCell ref="V122:Y122"/>
    <mergeCell ref="Z122:AC122"/>
    <mergeCell ref="AD122:AG122"/>
    <mergeCell ref="AH122:AK122"/>
    <mergeCell ref="AL122:AN122"/>
    <mergeCell ref="AO122:AQ122"/>
    <mergeCell ref="B119:AQ119"/>
    <mergeCell ref="Z120:AC121"/>
    <mergeCell ref="AD120:AG121"/>
    <mergeCell ref="AH120:AK121"/>
    <mergeCell ref="AL120:AN121"/>
    <mergeCell ref="AO120:AQ121"/>
    <mergeCell ref="B122:E124"/>
    <mergeCell ref="F122:I122"/>
    <mergeCell ref="J122:M122"/>
    <mergeCell ref="N122:Q122"/>
    <mergeCell ref="R122:U122"/>
    <mergeCell ref="F124:I124"/>
    <mergeCell ref="J124:M124"/>
    <mergeCell ref="AL114:AN114"/>
    <mergeCell ref="AH112:AK112"/>
    <mergeCell ref="AL112:AN112"/>
    <mergeCell ref="AO112:AQ112"/>
    <mergeCell ref="F113:I113"/>
    <mergeCell ref="N113:Q113"/>
    <mergeCell ref="R113:U113"/>
    <mergeCell ref="V113:Y113"/>
    <mergeCell ref="Z113:AC113"/>
    <mergeCell ref="AD113:AG113"/>
    <mergeCell ref="AH113:AK113"/>
    <mergeCell ref="AO115:AQ115"/>
    <mergeCell ref="F116:I116"/>
    <mergeCell ref="N116:Q116"/>
    <mergeCell ref="R116:U116"/>
    <mergeCell ref="V116:Y116"/>
    <mergeCell ref="Z116:AC116"/>
    <mergeCell ref="AD116:AG116"/>
    <mergeCell ref="AH116:AK116"/>
    <mergeCell ref="AL116:AN116"/>
    <mergeCell ref="AO116:AQ116"/>
    <mergeCell ref="AO114:AQ114"/>
    <mergeCell ref="AD115:AG115"/>
    <mergeCell ref="AH115:AK115"/>
    <mergeCell ref="AL115:AN115"/>
    <mergeCell ref="B112:E114"/>
    <mergeCell ref="F112:I112"/>
    <mergeCell ref="N112:Q112"/>
    <mergeCell ref="R112:U112"/>
    <mergeCell ref="V112:Y112"/>
    <mergeCell ref="Z112:AC112"/>
    <mergeCell ref="AD112:AG112"/>
    <mergeCell ref="F111:I111"/>
    <mergeCell ref="N111:Q111"/>
    <mergeCell ref="R111:U111"/>
    <mergeCell ref="V111:Y111"/>
    <mergeCell ref="Z111:AC111"/>
    <mergeCell ref="AD111:AG111"/>
    <mergeCell ref="AO109:AQ109"/>
    <mergeCell ref="F110:I110"/>
    <mergeCell ref="N110:Q110"/>
    <mergeCell ref="R110:U110"/>
    <mergeCell ref="V110:Y110"/>
    <mergeCell ref="Z110:AC110"/>
    <mergeCell ref="AD110:AG110"/>
    <mergeCell ref="AH110:AK110"/>
    <mergeCell ref="AL110:AN110"/>
    <mergeCell ref="AO110:AQ110"/>
    <mergeCell ref="AL113:AN113"/>
    <mergeCell ref="AO113:AQ113"/>
    <mergeCell ref="F114:I114"/>
    <mergeCell ref="N114:Q114"/>
    <mergeCell ref="R114:U114"/>
    <mergeCell ref="V114:Y114"/>
    <mergeCell ref="Z114:AC114"/>
    <mergeCell ref="AD114:AG114"/>
    <mergeCell ref="AH114:AK114"/>
    <mergeCell ref="B109:E111"/>
    <mergeCell ref="F109:I109"/>
    <mergeCell ref="N109:Q109"/>
    <mergeCell ref="R109:U109"/>
    <mergeCell ref="V109:Y109"/>
    <mergeCell ref="Z109:AC109"/>
    <mergeCell ref="AD109:AG109"/>
    <mergeCell ref="AH109:AK109"/>
    <mergeCell ref="AL109:AN109"/>
    <mergeCell ref="AL107:AN107"/>
    <mergeCell ref="AO107:AQ107"/>
    <mergeCell ref="F108:I108"/>
    <mergeCell ref="N108:Q108"/>
    <mergeCell ref="R108:U108"/>
    <mergeCell ref="V108:Y108"/>
    <mergeCell ref="Z108:AC108"/>
    <mergeCell ref="AD108:AG108"/>
    <mergeCell ref="AH108:AK108"/>
    <mergeCell ref="AL108:AN108"/>
    <mergeCell ref="AH111:AK111"/>
    <mergeCell ref="AL111:AN111"/>
    <mergeCell ref="AO111:AQ111"/>
    <mergeCell ref="AH106:AK106"/>
    <mergeCell ref="AL106:AN106"/>
    <mergeCell ref="AO106:AQ106"/>
    <mergeCell ref="F107:I107"/>
    <mergeCell ref="N107:Q107"/>
    <mergeCell ref="R107:U107"/>
    <mergeCell ref="V107:Y107"/>
    <mergeCell ref="Z107:AC107"/>
    <mergeCell ref="AD107:AG107"/>
    <mergeCell ref="AH107:AK107"/>
    <mergeCell ref="AH105:AK105"/>
    <mergeCell ref="AL105:AN105"/>
    <mergeCell ref="AO105:AQ105"/>
    <mergeCell ref="B106:E108"/>
    <mergeCell ref="F106:I106"/>
    <mergeCell ref="N106:Q106"/>
    <mergeCell ref="R106:U106"/>
    <mergeCell ref="V106:Y106"/>
    <mergeCell ref="Z106:AC106"/>
    <mergeCell ref="AD106:AG106"/>
    <mergeCell ref="F105:I105"/>
    <mergeCell ref="N105:Q105"/>
    <mergeCell ref="R105:U105"/>
    <mergeCell ref="V105:Y105"/>
    <mergeCell ref="Z105:AC105"/>
    <mergeCell ref="AD105:AG105"/>
    <mergeCell ref="AO108:AQ108"/>
    <mergeCell ref="B103:E105"/>
    <mergeCell ref="F103:I103"/>
    <mergeCell ref="N103:Q103"/>
    <mergeCell ref="R103:U103"/>
    <mergeCell ref="V103:Y103"/>
    <mergeCell ref="AL102:AN102"/>
    <mergeCell ref="AH100:AK100"/>
    <mergeCell ref="AL100:AN100"/>
    <mergeCell ref="AO100:AQ100"/>
    <mergeCell ref="F101:I101"/>
    <mergeCell ref="N101:Q101"/>
    <mergeCell ref="R101:U101"/>
    <mergeCell ref="V101:Y101"/>
    <mergeCell ref="Z101:AC101"/>
    <mergeCell ref="AD101:AG101"/>
    <mergeCell ref="AH101:AK101"/>
    <mergeCell ref="AO103:AQ103"/>
    <mergeCell ref="F104:I104"/>
    <mergeCell ref="N104:Q104"/>
    <mergeCell ref="R104:U104"/>
    <mergeCell ref="V104:Y104"/>
    <mergeCell ref="Z104:AC104"/>
    <mergeCell ref="AD104:AG104"/>
    <mergeCell ref="AH104:AK104"/>
    <mergeCell ref="AL104:AN104"/>
    <mergeCell ref="AO104:AQ104"/>
    <mergeCell ref="AO102:AQ102"/>
    <mergeCell ref="AD103:AG103"/>
    <mergeCell ref="AH103:AK103"/>
    <mergeCell ref="AL103:AN103"/>
    <mergeCell ref="Z103:AC103"/>
    <mergeCell ref="B100:E102"/>
    <mergeCell ref="F100:I100"/>
    <mergeCell ref="N100:Q100"/>
    <mergeCell ref="R100:U100"/>
    <mergeCell ref="V100:Y100"/>
    <mergeCell ref="Z100:AC100"/>
    <mergeCell ref="AD100:AG100"/>
    <mergeCell ref="F99:I99"/>
    <mergeCell ref="N99:Q99"/>
    <mergeCell ref="R99:U99"/>
    <mergeCell ref="V99:Y99"/>
    <mergeCell ref="Z99:AC99"/>
    <mergeCell ref="AD99:AG99"/>
    <mergeCell ref="AO97:AQ97"/>
    <mergeCell ref="F98:I98"/>
    <mergeCell ref="N98:Q98"/>
    <mergeCell ref="R98:U98"/>
    <mergeCell ref="V98:Y98"/>
    <mergeCell ref="Z98:AC98"/>
    <mergeCell ref="AD98:AG98"/>
    <mergeCell ref="AH98:AK98"/>
    <mergeCell ref="AL98:AN98"/>
    <mergeCell ref="AO98:AQ98"/>
    <mergeCell ref="AL101:AN101"/>
    <mergeCell ref="AO101:AQ101"/>
    <mergeCell ref="F102:I102"/>
    <mergeCell ref="N102:Q102"/>
    <mergeCell ref="R102:U102"/>
    <mergeCell ref="V102:Y102"/>
    <mergeCell ref="Z102:AC102"/>
    <mergeCell ref="AD102:AG102"/>
    <mergeCell ref="AH102:AK102"/>
    <mergeCell ref="B97:E99"/>
    <mergeCell ref="F97:I97"/>
    <mergeCell ref="N97:Q97"/>
    <mergeCell ref="R97:U97"/>
    <mergeCell ref="V97:Y97"/>
    <mergeCell ref="Z97:AC97"/>
    <mergeCell ref="AD97:AG97"/>
    <mergeCell ref="AH97:AK97"/>
    <mergeCell ref="AL97:AN97"/>
    <mergeCell ref="AL95:AN95"/>
    <mergeCell ref="AO95:AQ95"/>
    <mergeCell ref="F96:I96"/>
    <mergeCell ref="N96:Q96"/>
    <mergeCell ref="R96:U96"/>
    <mergeCell ref="V96:Y96"/>
    <mergeCell ref="Z96:AC96"/>
    <mergeCell ref="AD96:AG96"/>
    <mergeCell ref="AH96:AK96"/>
    <mergeCell ref="AL96:AN96"/>
    <mergeCell ref="AH99:AK99"/>
    <mergeCell ref="AL99:AN99"/>
    <mergeCell ref="AO99:AQ99"/>
    <mergeCell ref="AH94:AK94"/>
    <mergeCell ref="AL94:AN94"/>
    <mergeCell ref="AO94:AQ94"/>
    <mergeCell ref="F95:I95"/>
    <mergeCell ref="N95:Q95"/>
    <mergeCell ref="R95:U95"/>
    <mergeCell ref="V95:Y95"/>
    <mergeCell ref="Z95:AC95"/>
    <mergeCell ref="AD95:AG95"/>
    <mergeCell ref="AH95:AK95"/>
    <mergeCell ref="AH93:AK93"/>
    <mergeCell ref="AL93:AN93"/>
    <mergeCell ref="AO93:AQ93"/>
    <mergeCell ref="B94:E96"/>
    <mergeCell ref="F94:I94"/>
    <mergeCell ref="N94:Q94"/>
    <mergeCell ref="R94:U94"/>
    <mergeCell ref="V94:Y94"/>
    <mergeCell ref="Z94:AC94"/>
    <mergeCell ref="AD94:AG94"/>
    <mergeCell ref="AO96:AQ96"/>
    <mergeCell ref="B91:E93"/>
    <mergeCell ref="F91:I91"/>
    <mergeCell ref="N91:Q91"/>
    <mergeCell ref="R91:U91"/>
    <mergeCell ref="V91:Y91"/>
    <mergeCell ref="AD92:AG92"/>
    <mergeCell ref="AH92:AK92"/>
    <mergeCell ref="AL92:AN92"/>
    <mergeCell ref="AO92:AQ92"/>
    <mergeCell ref="F93:I93"/>
    <mergeCell ref="N93:Q93"/>
    <mergeCell ref="R93:U93"/>
    <mergeCell ref="V93:Y93"/>
    <mergeCell ref="Z93:AC93"/>
    <mergeCell ref="AD93:AG93"/>
    <mergeCell ref="Z91:AC91"/>
    <mergeCell ref="AD91:AG91"/>
    <mergeCell ref="AH91:AK91"/>
    <mergeCell ref="AL91:AN91"/>
    <mergeCell ref="AO91:AQ91"/>
    <mergeCell ref="F92:I92"/>
    <mergeCell ref="N92:Q92"/>
    <mergeCell ref="R92:U92"/>
    <mergeCell ref="V92:Y92"/>
    <mergeCell ref="Z92:AC92"/>
    <mergeCell ref="B88:E90"/>
    <mergeCell ref="F88:I88"/>
    <mergeCell ref="J88:M88"/>
    <mergeCell ref="N88:Q88"/>
    <mergeCell ref="R88:U88"/>
    <mergeCell ref="V88:Y88"/>
    <mergeCell ref="Z90:AC90"/>
    <mergeCell ref="AD90:AG90"/>
    <mergeCell ref="AH90:AK90"/>
    <mergeCell ref="AL90:AN90"/>
    <mergeCell ref="AO90:AQ90"/>
    <mergeCell ref="J91:M91"/>
    <mergeCell ref="J92:M92"/>
    <mergeCell ref="J93:M93"/>
    <mergeCell ref="B86:E87"/>
    <mergeCell ref="F86:I87"/>
    <mergeCell ref="J86:M87"/>
    <mergeCell ref="N86:Q87"/>
    <mergeCell ref="R86:U87"/>
    <mergeCell ref="V86:Y87"/>
    <mergeCell ref="Z86:AC87"/>
    <mergeCell ref="Z89:AC89"/>
    <mergeCell ref="AD89:AG89"/>
    <mergeCell ref="AH89:AK89"/>
    <mergeCell ref="AL89:AN89"/>
    <mergeCell ref="AO89:AQ89"/>
    <mergeCell ref="F90:I90"/>
    <mergeCell ref="J90:M90"/>
    <mergeCell ref="N90:Q90"/>
    <mergeCell ref="R90:U90"/>
    <mergeCell ref="V90:Y90"/>
    <mergeCell ref="AO81:AQ81"/>
    <mergeCell ref="F82:I82"/>
    <mergeCell ref="N82:Q82"/>
    <mergeCell ref="R82:U82"/>
    <mergeCell ref="V82:Y82"/>
    <mergeCell ref="Z82:AC82"/>
    <mergeCell ref="AD82:AG82"/>
    <mergeCell ref="Z88:AC88"/>
    <mergeCell ref="AD88:AG88"/>
    <mergeCell ref="AH88:AK88"/>
    <mergeCell ref="AL88:AN88"/>
    <mergeCell ref="AO88:AQ88"/>
    <mergeCell ref="F89:I89"/>
    <mergeCell ref="J89:M89"/>
    <mergeCell ref="N89:Q89"/>
    <mergeCell ref="R89:U89"/>
    <mergeCell ref="V89:Y89"/>
    <mergeCell ref="AD86:AG87"/>
    <mergeCell ref="AH86:AK87"/>
    <mergeCell ref="AL86:AN87"/>
    <mergeCell ref="AO86:AQ87"/>
    <mergeCell ref="B81:E83"/>
    <mergeCell ref="F81:I81"/>
    <mergeCell ref="N81:Q81"/>
    <mergeCell ref="R81:U81"/>
    <mergeCell ref="V81:Y81"/>
    <mergeCell ref="Z81:AC81"/>
    <mergeCell ref="AO79:AQ79"/>
    <mergeCell ref="F80:I80"/>
    <mergeCell ref="N80:Q80"/>
    <mergeCell ref="R80:U80"/>
    <mergeCell ref="V80:Y80"/>
    <mergeCell ref="Z80:AC80"/>
    <mergeCell ref="AD80:AG80"/>
    <mergeCell ref="AH80:AK80"/>
    <mergeCell ref="AL80:AN80"/>
    <mergeCell ref="AO80:AQ80"/>
    <mergeCell ref="AH83:AK83"/>
    <mergeCell ref="AL83:AN83"/>
    <mergeCell ref="AO83:AQ83"/>
    <mergeCell ref="AH82:AK82"/>
    <mergeCell ref="AL82:AN82"/>
    <mergeCell ref="AO82:AQ82"/>
    <mergeCell ref="F83:I83"/>
    <mergeCell ref="J83:M83"/>
    <mergeCell ref="N83:Q83"/>
    <mergeCell ref="R83:U83"/>
    <mergeCell ref="V83:Y83"/>
    <mergeCell ref="Z83:AC83"/>
    <mergeCell ref="AD83:AG83"/>
    <mergeCell ref="AD81:AG81"/>
    <mergeCell ref="AH81:AK81"/>
    <mergeCell ref="AL81:AN81"/>
    <mergeCell ref="AL78:AN78"/>
    <mergeCell ref="AO78:AQ78"/>
    <mergeCell ref="F79:I79"/>
    <mergeCell ref="N79:Q79"/>
    <mergeCell ref="R79:U79"/>
    <mergeCell ref="V79:Y79"/>
    <mergeCell ref="Z79:AC79"/>
    <mergeCell ref="AD79:AG79"/>
    <mergeCell ref="AH79:AK79"/>
    <mergeCell ref="AL79:AN79"/>
    <mergeCell ref="AL77:AN77"/>
    <mergeCell ref="AO77:AQ77"/>
    <mergeCell ref="B78:E80"/>
    <mergeCell ref="F78:I78"/>
    <mergeCell ref="N78:Q78"/>
    <mergeCell ref="R78:U78"/>
    <mergeCell ref="V78:Y78"/>
    <mergeCell ref="Z78:AC78"/>
    <mergeCell ref="AD78:AG78"/>
    <mergeCell ref="AH78:AK78"/>
    <mergeCell ref="B75:E77"/>
    <mergeCell ref="R73:U73"/>
    <mergeCell ref="V73:Y73"/>
    <mergeCell ref="Z73:AC73"/>
    <mergeCell ref="AD73:AG73"/>
    <mergeCell ref="AH73:AK73"/>
    <mergeCell ref="AL73:AN73"/>
    <mergeCell ref="AH76:AK76"/>
    <mergeCell ref="AL76:AN76"/>
    <mergeCell ref="AO76:AQ76"/>
    <mergeCell ref="F77:I77"/>
    <mergeCell ref="N77:Q77"/>
    <mergeCell ref="R77:U77"/>
    <mergeCell ref="V77:Y77"/>
    <mergeCell ref="Z77:AC77"/>
    <mergeCell ref="AD77:AG77"/>
    <mergeCell ref="AH77:AK77"/>
    <mergeCell ref="AD75:AG75"/>
    <mergeCell ref="AH75:AK75"/>
    <mergeCell ref="AL75:AN75"/>
    <mergeCell ref="AO75:AQ75"/>
    <mergeCell ref="F76:I76"/>
    <mergeCell ref="N76:Q76"/>
    <mergeCell ref="R76:U76"/>
    <mergeCell ref="V76:Y76"/>
    <mergeCell ref="Z76:AC76"/>
    <mergeCell ref="AD76:AG76"/>
    <mergeCell ref="F75:I75"/>
    <mergeCell ref="N75:Q75"/>
    <mergeCell ref="R75:U75"/>
    <mergeCell ref="V75:Y75"/>
    <mergeCell ref="Z75:AC75"/>
    <mergeCell ref="B72:E74"/>
    <mergeCell ref="F72:I72"/>
    <mergeCell ref="N72:Q72"/>
    <mergeCell ref="R72:U72"/>
    <mergeCell ref="V72:Y72"/>
    <mergeCell ref="Z72:AC72"/>
    <mergeCell ref="AD72:AG72"/>
    <mergeCell ref="AH72:AK72"/>
    <mergeCell ref="AH70:AK70"/>
    <mergeCell ref="AL70:AN70"/>
    <mergeCell ref="AO70:AQ70"/>
    <mergeCell ref="F71:I71"/>
    <mergeCell ref="N71:Q71"/>
    <mergeCell ref="R71:U71"/>
    <mergeCell ref="V71:Y71"/>
    <mergeCell ref="Z71:AC71"/>
    <mergeCell ref="AD71:AG71"/>
    <mergeCell ref="AH71:AK71"/>
    <mergeCell ref="AO73:AQ73"/>
    <mergeCell ref="F74:I74"/>
    <mergeCell ref="N74:Q74"/>
    <mergeCell ref="R74:U74"/>
    <mergeCell ref="V74:Y74"/>
    <mergeCell ref="Z74:AC74"/>
    <mergeCell ref="AD74:AG74"/>
    <mergeCell ref="AH74:AK74"/>
    <mergeCell ref="AL74:AN74"/>
    <mergeCell ref="AO74:AQ74"/>
    <mergeCell ref="AL72:AN72"/>
    <mergeCell ref="AO72:AQ72"/>
    <mergeCell ref="F73:I73"/>
    <mergeCell ref="N73:Q73"/>
    <mergeCell ref="AD69:AG69"/>
    <mergeCell ref="AH69:AK69"/>
    <mergeCell ref="AL69:AN69"/>
    <mergeCell ref="AO69:AQ69"/>
    <mergeCell ref="F70:I70"/>
    <mergeCell ref="N70:Q70"/>
    <mergeCell ref="R70:U70"/>
    <mergeCell ref="V70:Y70"/>
    <mergeCell ref="Z70:AC70"/>
    <mergeCell ref="AD70:AG70"/>
    <mergeCell ref="B69:E71"/>
    <mergeCell ref="F69:I69"/>
    <mergeCell ref="N69:Q69"/>
    <mergeCell ref="R69:U69"/>
    <mergeCell ref="V69:Y69"/>
    <mergeCell ref="Z69:AC69"/>
    <mergeCell ref="AO67:AQ67"/>
    <mergeCell ref="F68:I68"/>
    <mergeCell ref="N68:Q68"/>
    <mergeCell ref="R68:U68"/>
    <mergeCell ref="V68:Y68"/>
    <mergeCell ref="Z68:AC68"/>
    <mergeCell ref="AD68:AG68"/>
    <mergeCell ref="AH68:AK68"/>
    <mergeCell ref="AL68:AN68"/>
    <mergeCell ref="AO68:AQ68"/>
    <mergeCell ref="AL71:AN71"/>
    <mergeCell ref="AO71:AQ71"/>
    <mergeCell ref="AL66:AN66"/>
    <mergeCell ref="AO66:AQ66"/>
    <mergeCell ref="F67:I67"/>
    <mergeCell ref="N67:Q67"/>
    <mergeCell ref="R67:U67"/>
    <mergeCell ref="V67:Y67"/>
    <mergeCell ref="Z67:AC67"/>
    <mergeCell ref="AD67:AG67"/>
    <mergeCell ref="AH67:AK67"/>
    <mergeCell ref="AL67:AN67"/>
    <mergeCell ref="AL65:AN65"/>
    <mergeCell ref="AO65:AQ65"/>
    <mergeCell ref="B66:E68"/>
    <mergeCell ref="F66:I66"/>
    <mergeCell ref="N66:Q66"/>
    <mergeCell ref="R66:U66"/>
    <mergeCell ref="V66:Y66"/>
    <mergeCell ref="Z66:AC66"/>
    <mergeCell ref="AD66:AG66"/>
    <mergeCell ref="AH66:AK66"/>
    <mergeCell ref="B63:E65"/>
    <mergeCell ref="R61:U61"/>
    <mergeCell ref="V61:Y61"/>
    <mergeCell ref="Z61:AC61"/>
    <mergeCell ref="AD61:AG61"/>
    <mergeCell ref="AH61:AK61"/>
    <mergeCell ref="AL61:AN61"/>
    <mergeCell ref="AH64:AK64"/>
    <mergeCell ref="AL64:AN64"/>
    <mergeCell ref="AO64:AQ64"/>
    <mergeCell ref="F65:I65"/>
    <mergeCell ref="N65:Q65"/>
    <mergeCell ref="R65:U65"/>
    <mergeCell ref="V65:Y65"/>
    <mergeCell ref="Z65:AC65"/>
    <mergeCell ref="AD65:AG65"/>
    <mergeCell ref="AH65:AK65"/>
    <mergeCell ref="AD63:AG63"/>
    <mergeCell ref="AH63:AK63"/>
    <mergeCell ref="AL63:AN63"/>
    <mergeCell ref="AO63:AQ63"/>
    <mergeCell ref="F64:I64"/>
    <mergeCell ref="N64:Q64"/>
    <mergeCell ref="R64:U64"/>
    <mergeCell ref="V64:Y64"/>
    <mergeCell ref="Z64:AC64"/>
    <mergeCell ref="AD64:AG64"/>
    <mergeCell ref="F63:I63"/>
    <mergeCell ref="N63:Q63"/>
    <mergeCell ref="R63:U63"/>
    <mergeCell ref="V63:Y63"/>
    <mergeCell ref="Z63:AC63"/>
    <mergeCell ref="B60:E62"/>
    <mergeCell ref="F60:I60"/>
    <mergeCell ref="N60:Q60"/>
    <mergeCell ref="R60:U60"/>
    <mergeCell ref="V60:Y60"/>
    <mergeCell ref="Z60:AC60"/>
    <mergeCell ref="AD60:AG60"/>
    <mergeCell ref="AH60:AK60"/>
    <mergeCell ref="AH58:AK58"/>
    <mergeCell ref="AL58:AN58"/>
    <mergeCell ref="AO58:AQ58"/>
    <mergeCell ref="F59:I59"/>
    <mergeCell ref="N59:Q59"/>
    <mergeCell ref="R59:U59"/>
    <mergeCell ref="V59:Y59"/>
    <mergeCell ref="Z59:AC59"/>
    <mergeCell ref="AD59:AG59"/>
    <mergeCell ref="AH59:AK59"/>
    <mergeCell ref="AO61:AQ61"/>
    <mergeCell ref="F62:I62"/>
    <mergeCell ref="N62:Q62"/>
    <mergeCell ref="R62:U62"/>
    <mergeCell ref="V62:Y62"/>
    <mergeCell ref="Z62:AC62"/>
    <mergeCell ref="AD62:AG62"/>
    <mergeCell ref="AH62:AK62"/>
    <mergeCell ref="AL62:AN62"/>
    <mergeCell ref="AO62:AQ62"/>
    <mergeCell ref="AL60:AN60"/>
    <mergeCell ref="AO60:AQ60"/>
    <mergeCell ref="F61:I61"/>
    <mergeCell ref="N61:Q61"/>
    <mergeCell ref="AD57:AG57"/>
    <mergeCell ref="AH57:AK57"/>
    <mergeCell ref="AL57:AN57"/>
    <mergeCell ref="AO57:AQ57"/>
    <mergeCell ref="F58:I58"/>
    <mergeCell ref="N58:Q58"/>
    <mergeCell ref="R58:U58"/>
    <mergeCell ref="V58:Y58"/>
    <mergeCell ref="Z58:AC58"/>
    <mergeCell ref="AD58:AG58"/>
    <mergeCell ref="AD56:AG56"/>
    <mergeCell ref="AH56:AK56"/>
    <mergeCell ref="AL56:AN56"/>
    <mergeCell ref="AO56:AQ56"/>
    <mergeCell ref="B57:E59"/>
    <mergeCell ref="F57:I57"/>
    <mergeCell ref="N57:Q57"/>
    <mergeCell ref="R57:U57"/>
    <mergeCell ref="V57:Y57"/>
    <mergeCell ref="Z57:AC57"/>
    <mergeCell ref="AL59:AN59"/>
    <mergeCell ref="AO59:AQ59"/>
    <mergeCell ref="J57:M57"/>
    <mergeCell ref="J58:M58"/>
    <mergeCell ref="J59:M59"/>
    <mergeCell ref="AH55:AK55"/>
    <mergeCell ref="AL55:AN55"/>
    <mergeCell ref="AO55:AQ55"/>
    <mergeCell ref="F56:I56"/>
    <mergeCell ref="J56:M56"/>
    <mergeCell ref="N56:Q56"/>
    <mergeCell ref="R56:U56"/>
    <mergeCell ref="V56:Y56"/>
    <mergeCell ref="Z56:AC56"/>
    <mergeCell ref="AD54:AG54"/>
    <mergeCell ref="AH54:AK54"/>
    <mergeCell ref="AL54:AN54"/>
    <mergeCell ref="AO54:AQ54"/>
    <mergeCell ref="F55:I55"/>
    <mergeCell ref="J55:M55"/>
    <mergeCell ref="N55:Q55"/>
    <mergeCell ref="R55:U55"/>
    <mergeCell ref="V55:Y55"/>
    <mergeCell ref="Z55:AC55"/>
    <mergeCell ref="AH47:AK47"/>
    <mergeCell ref="AH45:AK45"/>
    <mergeCell ref="AL45:AN45"/>
    <mergeCell ref="AO45:AQ45"/>
    <mergeCell ref="F46:I46"/>
    <mergeCell ref="N46:Q46"/>
    <mergeCell ref="R46:U46"/>
    <mergeCell ref="V46:Y46"/>
    <mergeCell ref="Z46:AC46"/>
    <mergeCell ref="AD46:AG46"/>
    <mergeCell ref="AH46:AK46"/>
    <mergeCell ref="AH52:AK53"/>
    <mergeCell ref="AL52:AN53"/>
    <mergeCell ref="AO52:AQ53"/>
    <mergeCell ref="B54:E56"/>
    <mergeCell ref="F54:I54"/>
    <mergeCell ref="J54:M54"/>
    <mergeCell ref="N54:Q54"/>
    <mergeCell ref="R54:U54"/>
    <mergeCell ref="V54:Y54"/>
    <mergeCell ref="Z54:AC54"/>
    <mergeCell ref="AL47:AN47"/>
    <mergeCell ref="AO47:AQ47"/>
    <mergeCell ref="B52:E53"/>
    <mergeCell ref="F52:I53"/>
    <mergeCell ref="J52:M53"/>
    <mergeCell ref="N52:Q53"/>
    <mergeCell ref="R52:U53"/>
    <mergeCell ref="V52:Y53"/>
    <mergeCell ref="Z52:AC53"/>
    <mergeCell ref="AD52:AG53"/>
    <mergeCell ref="AD55:AG55"/>
    <mergeCell ref="B45:E47"/>
    <mergeCell ref="F45:I45"/>
    <mergeCell ref="N45:Q45"/>
    <mergeCell ref="R45:U45"/>
    <mergeCell ref="V45:Y45"/>
    <mergeCell ref="Z45:AC45"/>
    <mergeCell ref="AD45:AG45"/>
    <mergeCell ref="F44:I44"/>
    <mergeCell ref="N44:Q44"/>
    <mergeCell ref="R44:U44"/>
    <mergeCell ref="V44:Y44"/>
    <mergeCell ref="Z44:AC44"/>
    <mergeCell ref="AD44:AG44"/>
    <mergeCell ref="AO42:AQ42"/>
    <mergeCell ref="F43:I43"/>
    <mergeCell ref="N43:Q43"/>
    <mergeCell ref="R43:U43"/>
    <mergeCell ref="V43:Y43"/>
    <mergeCell ref="Z43:AC43"/>
    <mergeCell ref="AD43:AG43"/>
    <mergeCell ref="AH43:AK43"/>
    <mergeCell ref="AL43:AN43"/>
    <mergeCell ref="AO43:AQ43"/>
    <mergeCell ref="AL46:AN46"/>
    <mergeCell ref="AO46:AQ46"/>
    <mergeCell ref="F47:I47"/>
    <mergeCell ref="J47:M47"/>
    <mergeCell ref="N47:Q47"/>
    <mergeCell ref="R47:U47"/>
    <mergeCell ref="V47:Y47"/>
    <mergeCell ref="Z47:AC47"/>
    <mergeCell ref="AD47:AG47"/>
    <mergeCell ref="B42:E44"/>
    <mergeCell ref="F42:I42"/>
    <mergeCell ref="N42:Q42"/>
    <mergeCell ref="R42:U42"/>
    <mergeCell ref="V42:Y42"/>
    <mergeCell ref="Z42:AC42"/>
    <mergeCell ref="AD42:AG42"/>
    <mergeCell ref="AH42:AK42"/>
    <mergeCell ref="AL42:AN42"/>
    <mergeCell ref="AL40:AN40"/>
    <mergeCell ref="AO40:AQ40"/>
    <mergeCell ref="F41:I41"/>
    <mergeCell ref="N41:Q41"/>
    <mergeCell ref="R41:U41"/>
    <mergeCell ref="V41:Y41"/>
    <mergeCell ref="Z41:AC41"/>
    <mergeCell ref="AD41:AG41"/>
    <mergeCell ref="AH41:AK41"/>
    <mergeCell ref="AL41:AN41"/>
    <mergeCell ref="AH44:AK44"/>
    <mergeCell ref="AL44:AN44"/>
    <mergeCell ref="AO44:AQ44"/>
    <mergeCell ref="AH39:AK39"/>
    <mergeCell ref="AL39:AN39"/>
    <mergeCell ref="AO39:AQ39"/>
    <mergeCell ref="F40:I40"/>
    <mergeCell ref="N40:Q40"/>
    <mergeCell ref="R40:U40"/>
    <mergeCell ref="V40:Y40"/>
    <mergeCell ref="Z40:AC40"/>
    <mergeCell ref="AD40:AG40"/>
    <mergeCell ref="AH40:AK40"/>
    <mergeCell ref="AH38:AK38"/>
    <mergeCell ref="AL38:AN38"/>
    <mergeCell ref="AO38:AQ38"/>
    <mergeCell ref="B39:E41"/>
    <mergeCell ref="F39:I39"/>
    <mergeCell ref="N39:Q39"/>
    <mergeCell ref="R39:U39"/>
    <mergeCell ref="V39:Y39"/>
    <mergeCell ref="Z39:AC39"/>
    <mergeCell ref="AD39:AG39"/>
    <mergeCell ref="F38:I38"/>
    <mergeCell ref="N38:Q38"/>
    <mergeCell ref="R38:U38"/>
    <mergeCell ref="V38:Y38"/>
    <mergeCell ref="Z38:AC38"/>
    <mergeCell ref="AD38:AG38"/>
    <mergeCell ref="AO41:AQ41"/>
    <mergeCell ref="B36:E38"/>
    <mergeCell ref="F36:I36"/>
    <mergeCell ref="N36:Q36"/>
    <mergeCell ref="R36:U36"/>
    <mergeCell ref="V36:Y36"/>
    <mergeCell ref="AL35:AN35"/>
    <mergeCell ref="AH33:AK33"/>
    <mergeCell ref="AL33:AN33"/>
    <mergeCell ref="AO33:AQ33"/>
    <mergeCell ref="F34:I34"/>
    <mergeCell ref="N34:Q34"/>
    <mergeCell ref="R34:U34"/>
    <mergeCell ref="V34:Y34"/>
    <mergeCell ref="Z34:AC34"/>
    <mergeCell ref="AD34:AG34"/>
    <mergeCell ref="AH34:AK34"/>
    <mergeCell ref="AO36:AQ36"/>
    <mergeCell ref="F37:I37"/>
    <mergeCell ref="N37:Q37"/>
    <mergeCell ref="R37:U37"/>
    <mergeCell ref="V37:Y37"/>
    <mergeCell ref="Z37:AC37"/>
    <mergeCell ref="AD37:AG37"/>
    <mergeCell ref="AH37:AK37"/>
    <mergeCell ref="AL37:AN37"/>
    <mergeCell ref="AO37:AQ37"/>
    <mergeCell ref="AO35:AQ35"/>
    <mergeCell ref="AD36:AG36"/>
    <mergeCell ref="AH36:AK36"/>
    <mergeCell ref="AL36:AN36"/>
    <mergeCell ref="Z36:AC36"/>
    <mergeCell ref="B33:E35"/>
    <mergeCell ref="F33:I33"/>
    <mergeCell ref="N33:Q33"/>
    <mergeCell ref="R33:U33"/>
    <mergeCell ref="V33:Y33"/>
    <mergeCell ref="Z33:AC33"/>
    <mergeCell ref="AD33:AG33"/>
    <mergeCell ref="F32:I32"/>
    <mergeCell ref="N32:Q32"/>
    <mergeCell ref="R32:U32"/>
    <mergeCell ref="V32:Y32"/>
    <mergeCell ref="Z32:AC32"/>
    <mergeCell ref="AD32:AG32"/>
    <mergeCell ref="AO30:AQ30"/>
    <mergeCell ref="F31:I31"/>
    <mergeCell ref="N31:Q31"/>
    <mergeCell ref="R31:U31"/>
    <mergeCell ref="V31:Y31"/>
    <mergeCell ref="Z31:AC31"/>
    <mergeCell ref="AD31:AG31"/>
    <mergeCell ref="AH31:AK31"/>
    <mergeCell ref="AL31:AN31"/>
    <mergeCell ref="AO31:AQ31"/>
    <mergeCell ref="AL34:AN34"/>
    <mergeCell ref="AO34:AQ34"/>
    <mergeCell ref="F35:I35"/>
    <mergeCell ref="N35:Q35"/>
    <mergeCell ref="R35:U35"/>
    <mergeCell ref="V35:Y35"/>
    <mergeCell ref="Z35:AC35"/>
    <mergeCell ref="AD35:AG35"/>
    <mergeCell ref="AH35:AK35"/>
    <mergeCell ref="B30:E32"/>
    <mergeCell ref="F30:I30"/>
    <mergeCell ref="N30:Q30"/>
    <mergeCell ref="R30:U30"/>
    <mergeCell ref="V30:Y30"/>
    <mergeCell ref="Z30:AC30"/>
    <mergeCell ref="AD30:AG30"/>
    <mergeCell ref="AH30:AK30"/>
    <mergeCell ref="AL30:AN30"/>
    <mergeCell ref="AL28:AN28"/>
    <mergeCell ref="AO28:AQ28"/>
    <mergeCell ref="F29:I29"/>
    <mergeCell ref="N29:Q29"/>
    <mergeCell ref="R29:U29"/>
    <mergeCell ref="V29:Y29"/>
    <mergeCell ref="Z29:AC29"/>
    <mergeCell ref="AD29:AG29"/>
    <mergeCell ref="AH29:AK29"/>
    <mergeCell ref="AL29:AN29"/>
    <mergeCell ref="AH32:AK32"/>
    <mergeCell ref="AL32:AN32"/>
    <mergeCell ref="AO32:AQ32"/>
    <mergeCell ref="AH27:AK27"/>
    <mergeCell ref="AL27:AN27"/>
    <mergeCell ref="AO27:AQ27"/>
    <mergeCell ref="F28:I28"/>
    <mergeCell ref="N28:Q28"/>
    <mergeCell ref="R28:U28"/>
    <mergeCell ref="V28:Y28"/>
    <mergeCell ref="Z28:AC28"/>
    <mergeCell ref="AD28:AG28"/>
    <mergeCell ref="AH28:AK28"/>
    <mergeCell ref="AH26:AK26"/>
    <mergeCell ref="AL26:AN26"/>
    <mergeCell ref="AO26:AQ26"/>
    <mergeCell ref="B27:E29"/>
    <mergeCell ref="F27:I27"/>
    <mergeCell ref="N27:Q27"/>
    <mergeCell ref="R27:U27"/>
    <mergeCell ref="V27:Y27"/>
    <mergeCell ref="Z27:AC27"/>
    <mergeCell ref="AD27:AG27"/>
    <mergeCell ref="F26:I26"/>
    <mergeCell ref="N26:Q26"/>
    <mergeCell ref="R26:U26"/>
    <mergeCell ref="V26:Y26"/>
    <mergeCell ref="Z26:AC26"/>
    <mergeCell ref="AD26:AG26"/>
    <mergeCell ref="AO29:AQ29"/>
    <mergeCell ref="AO24:AQ24"/>
    <mergeCell ref="F25:I25"/>
    <mergeCell ref="N25:Q25"/>
    <mergeCell ref="R25:U25"/>
    <mergeCell ref="V25:Y25"/>
    <mergeCell ref="Z25:AC25"/>
    <mergeCell ref="AD25:AG25"/>
    <mergeCell ref="AH25:AK25"/>
    <mergeCell ref="AL25:AN25"/>
    <mergeCell ref="AO25:AQ25"/>
    <mergeCell ref="AO23:AQ23"/>
    <mergeCell ref="B24:E26"/>
    <mergeCell ref="F24:I24"/>
    <mergeCell ref="N24:Q24"/>
    <mergeCell ref="R24:U24"/>
    <mergeCell ref="V24:Y24"/>
    <mergeCell ref="Z24:AC24"/>
    <mergeCell ref="AD24:AG24"/>
    <mergeCell ref="AH24:AK24"/>
    <mergeCell ref="AL24:AN24"/>
    <mergeCell ref="B21:E23"/>
    <mergeCell ref="F21:I21"/>
    <mergeCell ref="N21:Q21"/>
    <mergeCell ref="R21:U21"/>
    <mergeCell ref="V21:Y21"/>
    <mergeCell ref="Z21:AC21"/>
    <mergeCell ref="AD21:AG21"/>
    <mergeCell ref="AL22:AN22"/>
    <mergeCell ref="AO22:AQ22"/>
    <mergeCell ref="F23:I23"/>
    <mergeCell ref="N23:Q23"/>
    <mergeCell ref="R23:U23"/>
    <mergeCell ref="V23:Y23"/>
    <mergeCell ref="Z23:AC23"/>
    <mergeCell ref="AD23:AG23"/>
    <mergeCell ref="AH23:AK23"/>
    <mergeCell ref="AL23:AN23"/>
    <mergeCell ref="AH21:AK21"/>
    <mergeCell ref="AL21:AN21"/>
    <mergeCell ref="AO21:AQ21"/>
    <mergeCell ref="F22:I22"/>
    <mergeCell ref="N22:Q22"/>
    <mergeCell ref="R22:U22"/>
    <mergeCell ref="V22:Y22"/>
    <mergeCell ref="Z22:AC22"/>
    <mergeCell ref="AD22:AG22"/>
    <mergeCell ref="AH22:AK22"/>
    <mergeCell ref="F19:I19"/>
    <mergeCell ref="J19:M19"/>
    <mergeCell ref="N19:Q19"/>
    <mergeCell ref="R19:U19"/>
    <mergeCell ref="V19:Y19"/>
    <mergeCell ref="Z19:AC19"/>
    <mergeCell ref="AD19:AG19"/>
    <mergeCell ref="J21:M21"/>
    <mergeCell ref="J22:M22"/>
    <mergeCell ref="J23:M23"/>
    <mergeCell ref="B18:E20"/>
    <mergeCell ref="F18:I18"/>
    <mergeCell ref="J18:M18"/>
    <mergeCell ref="N18:Q18"/>
    <mergeCell ref="R18:U18"/>
    <mergeCell ref="V18:Y18"/>
    <mergeCell ref="Z18:AC18"/>
    <mergeCell ref="AD18:AG18"/>
    <mergeCell ref="AH20:AK20"/>
    <mergeCell ref="AL20:AN20"/>
    <mergeCell ref="AO20:AQ20"/>
    <mergeCell ref="AH19:AK19"/>
    <mergeCell ref="AL19:AN19"/>
    <mergeCell ref="AO19:AQ19"/>
    <mergeCell ref="F20:I20"/>
    <mergeCell ref="J20:M20"/>
    <mergeCell ref="N20:Q20"/>
    <mergeCell ref="R20:U20"/>
    <mergeCell ref="V20:Y20"/>
    <mergeCell ref="Z20:AC20"/>
    <mergeCell ref="AD20:AG20"/>
    <mergeCell ref="AH18:AK18"/>
    <mergeCell ref="AL18:AN18"/>
    <mergeCell ref="AO18:AQ18"/>
    <mergeCell ref="A8:J8"/>
    <mergeCell ref="K8:V8"/>
    <mergeCell ref="AC8:AQ8"/>
    <mergeCell ref="A9:J9"/>
    <mergeCell ref="K9:AQ9"/>
    <mergeCell ref="W10:AB10"/>
    <mergeCell ref="AC10:AQ10"/>
    <mergeCell ref="A1:I6"/>
    <mergeCell ref="J1:AA2"/>
    <mergeCell ref="AB1:AF6"/>
    <mergeCell ref="J3:AA4"/>
    <mergeCell ref="J5:AA5"/>
    <mergeCell ref="J6:AA6"/>
    <mergeCell ref="B16:E17"/>
    <mergeCell ref="F16:I17"/>
    <mergeCell ref="J16:M17"/>
    <mergeCell ref="N16:Q17"/>
    <mergeCell ref="R16:U17"/>
    <mergeCell ref="V16:Y17"/>
    <mergeCell ref="Z16:AC17"/>
    <mergeCell ref="AD16:AG17"/>
    <mergeCell ref="AH16:AK17"/>
    <mergeCell ref="W11:AA11"/>
    <mergeCell ref="AB11:AQ11"/>
    <mergeCell ref="AL16:AN17"/>
    <mergeCell ref="AO16:AQ17"/>
    <mergeCell ref="A12:E12"/>
    <mergeCell ref="F12:V12"/>
    <mergeCell ref="B336:H336"/>
    <mergeCell ref="I336:O336"/>
    <mergeCell ref="P336:W336"/>
    <mergeCell ref="B337:H337"/>
    <mergeCell ref="I337:O337"/>
    <mergeCell ref="P337:W337"/>
    <mergeCell ref="P338:W338"/>
    <mergeCell ref="B338:O338"/>
    <mergeCell ref="T329:V329"/>
    <mergeCell ref="W329:Y329"/>
    <mergeCell ref="Z329:AB329"/>
    <mergeCell ref="W330:Y330"/>
    <mergeCell ref="W331:Y331"/>
    <mergeCell ref="W332:Y332"/>
    <mergeCell ref="Z330:AB330"/>
    <mergeCell ref="Z331:AB331"/>
    <mergeCell ref="Z332:AB332"/>
    <mergeCell ref="T331:V331"/>
    <mergeCell ref="T332:V332"/>
  </mergeCells>
  <printOptions gridLines="false" gridLinesSet="true" horizontalCentered="true"/>
  <pageMargins left="0.15748031496063" right="0.15748031496063" top="0.43307086614173" bottom="0.11811023622047" header="0" footer="0"/>
  <pageSetup paperSize="5" orientation="portrait" scale="100" fitToHeight="1" fitToWidth="1" pageOrder="downThenOver" r:id="rId1ps"/>
  <headerFooter differentOddEven="false" differentFirst="false" scaleWithDoc="true" alignWithMargins="true">
    <oddHeader>&amp;LAttachment 2</oddHeader>
    <oddFooter>&amp;ROPLAN KALUSUGAN SA DEPED: Accomplishment Report... &amp;P  of</oddFooter>
    <evenHeader/>
    <evenFooter/>
    <firstHeader/>
    <firstFooter/>
  </headerFooter>
  <rowBreaks count="1" manualBreakCount="1">
    <brk id="360" man="1" max="1"/>
  </rowBreaks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Velasco</dc:creator>
  <cp:lastModifiedBy>ADMIN</cp:lastModifiedBy>
  <dcterms:created xsi:type="dcterms:W3CDTF">2019-01-29T01:27:32+00:00</dcterms:created>
  <dcterms:modified xsi:type="dcterms:W3CDTF">2026-05-18T14:08:13+00:00</dcterms:modified>
  <dc:title/>
  <dc:description/>
  <dc:subject/>
  <cp:keywords/>
  <cp:category/>
</cp:coreProperties>
</file>