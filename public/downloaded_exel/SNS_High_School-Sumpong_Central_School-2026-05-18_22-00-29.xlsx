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NS Form Highschoo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<sst xmlns="http://schemas.openxmlformats.org/spreadsheetml/2006/main" uniqueCount="35">
  <si>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Department of Education</t>
  </si>
  <si>
    <t>Bureau of Learner Support Services</t>
  </si>
  <si>
    <t>SCHOOL HEALTH DIVISION</t>
  </si>
  <si>
    <t>NUTRITIONAL STATUS REPORT OF SUMPONG CENTRAL SCHOOL</t>
  </si>
  <si>
    <t>Baseline SY 2025 - 2026</t>
  </si>
  <si>
    <t>Grade Levels</t>
  </si>
  <si>
    <t>Enrolment</t>
  </si>
  <si>
    <t>Pupils Weighed</t>
  </si>
  <si>
    <t>BODY MASS INDEX (BMI)</t>
  </si>
  <si>
    <t>HEIGHT-FOR-AGE (HFA)</t>
  </si>
  <si>
    <t>Pupils Taken Height</t>
  </si>
  <si>
    <t>Severely Wasted</t>
  </si>
  <si>
    <t>Wasted</t>
  </si>
  <si>
    <t>Normal</t>
  </si>
  <si>
    <t>Overweight</t>
  </si>
  <si>
    <t>Obese</t>
  </si>
  <si>
    <t>Severely Stunted</t>
  </si>
  <si>
    <t>Stunted</t>
  </si>
  <si>
    <t>Tall</t>
  </si>
  <si>
    <t>No.</t>
  </si>
  <si>
    <t>%</t>
  </si>
  <si>
    <t>Grade 7</t>
  </si>
  <si>
    <t>M</t>
  </si>
  <si>
    <t>F</t>
  </si>
  <si>
    <t>Total</t>
  </si>
  <si>
    <t>Grade 8</t>
  </si>
  <si>
    <t>Grade 9</t>
  </si>
  <si>
    <t>Grade 10</t>
  </si>
  <si>
    <t>Grade 11</t>
  </si>
  <si>
    <t>Grade 12</t>
  </si>
  <si>
    <t>GRAND TOTAL:</t>
  </si>
  <si>
    <t>Prepared by :</t>
  </si>
  <si>
    <t>Approved by :</t>
  </si>
  <si>
    <t>SBFP DepEd Focal</t>
  </si>
  <si>
    <t>School Head</t>
  </si>
</sst>
</file>

<file path=xl/styles.xml><?xml version="1.0" encoding="utf-8"?>
<styleSheet xmlns="http://schemas.openxmlformats.org/spreadsheetml/2006/main" xml:space="preserve">
  <numFmts count="0"/>
  <fonts count="21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0"/>
      <color rgb="FF000000"/>
      <name val="Tahoma"/>
    </font>
    <font>
      <b val="0"/>
      <i val="0"/>
      <strike val="0"/>
      <u val="none"/>
      <sz val="9"/>
      <color rgb="FF000000"/>
      <name val="Tahoma"/>
    </font>
    <font>
      <b val="0"/>
      <i val="0"/>
      <strike val="0"/>
      <u val="none"/>
      <sz val="10"/>
      <color rgb="FF000000"/>
      <name val="Arial Narrow"/>
    </font>
    <font>
      <b val="0"/>
      <i val="1"/>
      <strike val="0"/>
      <u val="none"/>
      <sz val="9"/>
      <color rgb="FF000000"/>
      <name val="Arial Narrow"/>
    </font>
    <font>
      <b val="1"/>
      <i val="0"/>
      <strike val="0"/>
      <u val="none"/>
      <sz val="8"/>
      <color rgb="FF000000"/>
      <name val="Tahoma"/>
    </font>
    <font>
      <b val="1"/>
      <i val="0"/>
      <strike val="0"/>
      <u val="none"/>
      <sz val="10"/>
      <color rgb="FF000000"/>
      <name val="Arial Narrow"/>
    </font>
    <font>
      <b val="1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single"/>
      <sz val="9"/>
      <color rgb="FF0563C1"/>
      <name val="Calibri"/>
    </font>
    <font>
      <b val="0"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Calibri"/>
      <scheme val="minor"/>
    </font>
    <font>
      <b val="1"/>
      <i val="1"/>
      <strike val="0"/>
      <u val="none"/>
      <sz val="9"/>
      <color rgb="FF000000"/>
      <name val="Arial Narrow"/>
    </font>
    <font>
      <b val="1"/>
      <i val="0"/>
      <strike val="0"/>
      <u val="none"/>
      <sz val="10"/>
      <color rgb="FF000000"/>
      <name val="Tahoma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imes New Roman"/>
    </font>
    <font>
      <b val="0"/>
      <i val="0"/>
      <strike val="0"/>
      <u val="none"/>
      <sz val="9"/>
      <color rgb="FF000000"/>
      <name val="Times New Roman"/>
    </font>
    <font>
      <b val="0"/>
      <i val="0"/>
      <strike val="0"/>
      <u val="none"/>
      <sz val="10"/>
      <color rgb="FF000000"/>
      <name val="Times New Roman"/>
    </font>
    <font>
      <b val="0"/>
      <i val="1"/>
      <strike val="0"/>
      <u val="none"/>
      <sz val="9"/>
      <color rgb="FF0000FF"/>
      <name val="Tahoma"/>
    </font>
    <font>
      <b val="1"/>
      <i val="0"/>
      <strike val="0"/>
      <u val="none"/>
      <sz val="9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C6D9F0"/>
        <bgColor rgb="FFC6D9F0"/>
      </patternFill>
    </fill>
    <fill>
      <patternFill patternType="solid">
        <fgColor rgb="FFCCFFCC"/>
        <bgColor rgb="FFCCFFCC"/>
      </patternFill>
    </fill>
  </fills>
  <borders count="4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hair">
        <color rgb="FF000000"/>
      </right>
      <top style="double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hair">
        <color rgb="FF000000"/>
      </left>
      <right/>
      <top/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hair">
        <color rgb="FF000000"/>
      </left>
      <right/>
      <top style="double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3" applyFont="1" applyNumberFormat="0" applyFill="0" applyBorder="1" applyAlignment="1">
      <alignment horizontal="center" vertical="bottom" textRotation="0" wrapText="false" shrinkToFit="false"/>
    </xf>
    <xf xfId="0" fontId="2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center" textRotation="0" wrapText="false" shrinkToFit="false"/>
    </xf>
    <xf xfId="0" fontId="3" numFmtId="3" fillId="0" borderId="6" applyFont="1" applyNumberFormat="1" applyFill="0" applyBorder="1" applyAlignment="1">
      <alignment horizontal="center" vertical="center" textRotation="0" wrapText="false" shrinkToFit="false"/>
    </xf>
    <xf xfId="0" fontId="3" numFmtId="3" fillId="0" borderId="5" applyFont="1" applyNumberFormat="1" applyFill="0" applyBorder="1" applyAlignment="1">
      <alignment horizontal="center" vertical="center" textRotation="0" wrapText="false" shrinkToFit="false"/>
    </xf>
    <xf xfId="0" fontId="4" numFmtId="10" fillId="0" borderId="7" applyFont="1" applyNumberFormat="1" applyFill="0" applyBorder="1" applyAlignment="1">
      <alignment horizontal="center" vertical="center" textRotation="0" wrapText="false" shrinkToFit="false"/>
    </xf>
    <xf xfId="0" fontId="3" numFmtId="3" fillId="0" borderId="8" applyFont="1" applyNumberFormat="1" applyFill="0" applyBorder="1" applyAlignment="1">
      <alignment horizontal="center" vertical="center" textRotation="0" wrapText="false" shrinkToFit="false"/>
    </xf>
    <xf xfId="0" fontId="1" numFmtId="0" fillId="0" borderId="9" applyFont="1" applyNumberFormat="0" applyFill="0" applyBorder="1" applyAlignment="1">
      <alignment horizontal="center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6" numFmtId="3" fillId="0" borderId="6" applyFont="1" applyNumberFormat="1" applyFill="0" applyBorder="1" applyAlignment="1">
      <alignment horizontal="center" vertical="center" textRotation="0" wrapText="false" shrinkToFit="false"/>
    </xf>
    <xf xfId="0" fontId="6" numFmtId="3" fillId="0" borderId="8" applyFont="1" applyNumberFormat="1" applyFill="0" applyBorder="1" applyAlignment="1">
      <alignment horizontal="center" vertical="center" textRotation="0" wrapText="false" shrinkToFit="false"/>
    </xf>
    <xf xfId="0" fontId="7" numFmtId="10" fillId="0" borderId="7" applyFont="1" applyNumberFormat="1" applyFill="0" applyBorder="1" applyAlignment="1">
      <alignment horizontal="center" vertical="center" textRotation="0" wrapText="false" shrinkToFit="false"/>
    </xf>
    <xf xfId="0" fontId="5" numFmtId="0" fillId="0" borderId="10" applyFont="1" applyNumberFormat="0" applyFill="0" applyBorder="1" applyAlignment="1">
      <alignment horizontal="center" vertical="center" textRotation="0" wrapText="false" shrinkToFit="false"/>
    </xf>
    <xf xfId="0" fontId="4" numFmtId="10" fillId="0" borderId="11" applyFont="1" applyNumberFormat="1" applyFill="0" applyBorder="1" applyAlignment="1">
      <alignment horizontal="center" vertical="center" textRotation="0" wrapText="false" shrinkToFit="false"/>
    </xf>
    <xf xfId="0" fontId="6" numFmtId="3" fillId="2" borderId="12" applyFont="1" applyNumberFormat="1" applyFill="1" applyBorder="1" applyAlignment="1">
      <alignment horizontal="center" vertical="center" textRotation="0" wrapText="false" shrinkToFit="false"/>
    </xf>
    <xf xfId="0" fontId="7" numFmtId="10" fillId="2" borderId="13" applyFont="1" applyNumberFormat="1" applyFill="1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0"/>
    <xf xfId="0" fontId="10" numFmtId="0" fillId="0" borderId="0" applyFont="1" applyNumberFormat="0" applyFill="0" applyBorder="0" applyAlignment="0"/>
    <xf xfId="0" fontId="11" numFmtId="0" fillId="0" borderId="0" applyFont="1" applyNumberFormat="0" applyFill="0" applyBorder="0" applyAlignment="0"/>
    <xf xfId="0" fontId="12" numFmtId="10" fillId="0" borderId="7" applyFont="1" applyNumberFormat="1" applyFill="0" applyBorder="1" applyAlignment="1">
      <alignment horizontal="center" vertical="center" textRotation="0" wrapText="false" shrinkToFit="false"/>
    </xf>
    <xf xfId="0" fontId="6" numFmtId="3" fillId="0" borderId="14" applyFont="1" applyNumberFormat="1" applyFill="0" applyBorder="1" applyAlignment="1">
      <alignment horizontal="center" vertical="center" textRotation="0" wrapText="false" shrinkToFit="false"/>
    </xf>
    <xf xfId="0" fontId="1" numFmtId="0" fillId="0" borderId="15" applyFont="1" applyNumberFormat="0" applyFill="0" applyBorder="1" applyAlignment="1">
      <alignment horizontal="center" vertical="center" textRotation="0" wrapText="false" shrinkToFit="false"/>
    </xf>
    <xf xfId="0" fontId="3" numFmtId="3" fillId="0" borderId="11" applyFont="1" applyNumberFormat="1" applyFill="0" applyBorder="1" applyAlignment="1">
      <alignment horizontal="center" vertical="center" textRotation="0" wrapText="false" shrinkToFit="false"/>
    </xf>
    <xf xfId="0" fontId="1" numFmtId="0" fillId="0" borderId="9" applyFont="1" applyNumberFormat="0" applyFill="0" applyBorder="1" applyAlignment="1">
      <alignment horizontal="center" vertical="center" textRotation="0" wrapText="false" shrinkToFit="false"/>
    </xf>
    <xf xfId="0" fontId="3" numFmtId="3" fillId="0" borderId="7" applyFont="1" applyNumberFormat="1" applyFill="0" applyBorder="1" applyAlignment="1">
      <alignment horizontal="center" vertical="center" textRotation="0" wrapText="false" shrinkToFit="false"/>
    </xf>
    <xf xfId="0" fontId="5" numFmtId="0" fillId="2" borderId="12" applyFont="1" applyNumberFormat="0" applyFill="1" applyBorder="1" applyAlignment="1">
      <alignment vertical="center" textRotation="0" wrapText="false" shrinkToFit="false"/>
    </xf>
    <xf xfId="0" fontId="13" numFmtId="0" fillId="0" borderId="16" applyFont="1" applyNumberFormat="0" applyFill="0" applyBorder="1" applyAlignment="1">
      <alignment horizontal="center" vertical="center" textRotation="0" wrapText="true" shrinkToFit="false"/>
    </xf>
    <xf xfId="0" fontId="14" numFmtId="0" fillId="0" borderId="17" applyFont="1" applyNumberFormat="0" applyFill="0" applyBorder="1" applyAlignment="0"/>
    <xf xfId="0" fontId="14" numFmtId="0" fillId="0" borderId="18" applyFont="1" applyNumberFormat="0" applyFill="0" applyBorder="1" applyAlignment="0"/>
    <xf xfId="0" fontId="1" numFmtId="0" fillId="0" borderId="19" applyFont="1" applyNumberFormat="0" applyFill="0" applyBorder="1" applyAlignment="1">
      <alignment horizontal="center" vertical="center" textRotation="0" wrapText="false" shrinkToFit="false"/>
    </xf>
    <xf xfId="0" fontId="14" numFmtId="0" fillId="0" borderId="14" applyFont="1" applyNumberFormat="0" applyFill="0" applyBorder="1" applyAlignment="0"/>
    <xf xfId="0" fontId="14" numFmtId="0" fillId="0" borderId="6" applyFont="1" applyNumberFormat="0" applyFill="0" applyBorder="1" applyAlignment="0"/>
    <xf xfId="0" fontId="1" numFmtId="0" fillId="0" borderId="20" applyFont="1" applyNumberFormat="0" applyFill="0" applyBorder="1" applyAlignment="1">
      <alignment horizontal="center" vertical="center" textRotation="0" wrapText="false" shrinkToFit="false"/>
    </xf>
    <xf xfId="0" fontId="15" numFmtId="0" fillId="0" borderId="16" applyFont="1" applyNumberFormat="0" applyFill="0" applyBorder="1" applyAlignment="1">
      <alignment horizontal="center" vertical="center" textRotation="0" wrapText="true" shrinkToFit="false"/>
    </xf>
    <xf xfId="0" fontId="14" numFmtId="0" fillId="0" borderId="21" applyFont="1" applyNumberFormat="0" applyFill="0" applyBorder="1" applyAlignment="0"/>
    <xf xfId="0" fontId="14" numFmtId="0" fillId="0" borderId="22" applyFont="1" applyNumberFormat="0" applyFill="0" applyBorder="1" applyAlignment="0"/>
    <xf xfId="0" fontId="14" numFmtId="0" fillId="0" borderId="23" applyFont="1" applyNumberFormat="0" applyFill="0" applyBorder="1" applyAlignment="0"/>
    <xf xfId="0" fontId="16" numFmtId="0" fillId="0" borderId="24" applyFont="1" applyNumberFormat="0" applyFill="0" applyBorder="1" applyAlignment="1">
      <alignment horizontal="center" vertical="center" textRotation="0" wrapText="false" shrinkToFit="false"/>
    </xf>
    <xf xfId="0" fontId="14" numFmtId="0" fillId="0" borderId="25" applyFont="1" applyNumberFormat="0" applyFill="0" applyBorder="1" applyAlignment="0"/>
    <xf xfId="0" fontId="17" numFmtId="0" fillId="0" borderId="26" applyFont="1" applyNumberFormat="0" applyFill="0" applyBorder="1" applyAlignment="1">
      <alignment horizontal="center" vertical="center" textRotation="0" wrapText="false" shrinkToFit="false"/>
    </xf>
    <xf xfId="0" fontId="18" numFmtId="0" fillId="0" borderId="26" applyFont="1" applyNumberFormat="0" applyFill="0" applyBorder="1" applyAlignment="1">
      <alignment horizontal="center" vertical="center" textRotation="0" wrapText="false" shrinkToFit="false"/>
    </xf>
    <xf xfId="0" fontId="14" numFmtId="0" fillId="0" borderId="27" applyFont="1" applyNumberFormat="0" applyFill="0" applyBorder="1" applyAlignment="0"/>
    <xf xfId="0" fontId="16" numFmtId="0" fillId="0" borderId="24" applyFont="1" applyNumberFormat="0" applyFill="0" applyBorder="1" applyAlignment="1">
      <alignment horizontal="center" vertical="bottom" textRotation="0" wrapText="false" shrinkToFit="false"/>
    </xf>
    <xf xfId="0" fontId="17" numFmtId="0" fillId="0" borderId="26" applyFont="1" applyNumberFormat="0" applyFill="0" applyBorder="1" applyAlignment="1">
      <alignment horizontal="center" vertical="bottom" textRotation="0" wrapText="false" shrinkToFit="false"/>
    </xf>
    <xf xfId="0" fontId="18" numFmtId="0" fillId="0" borderId="26" applyFont="1" applyNumberFormat="0" applyFill="0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13" numFmtId="0" fillId="0" borderId="0" applyFont="1" applyNumberFormat="0" applyFill="0" applyBorder="0" applyAlignment="1">
      <alignment horizontal="center" vertical="bottom" textRotation="0" wrapText="false" shrinkToFit="false"/>
    </xf>
    <xf xfId="0" fontId="19" numFmtId="0" fillId="0" borderId="0" applyFont="1" applyNumberFormat="0" applyFill="0" applyBorder="0" applyAlignment="1">
      <alignment horizontal="center" vertical="bottom" textRotation="0" wrapText="false" shrinkToFit="false"/>
    </xf>
    <xf xfId="0" fontId="13" numFmtId="0" fillId="0" borderId="28" applyFont="1" applyNumberFormat="0" applyFill="0" applyBorder="1" applyAlignment="1">
      <alignment horizontal="center" vertical="center" textRotation="0" wrapText="true" shrinkToFit="false"/>
    </xf>
    <xf xfId="0" fontId="14" numFmtId="0" fillId="0" borderId="29" applyFont="1" applyNumberFormat="0" applyFill="0" applyBorder="1" applyAlignment="0"/>
    <xf xfId="0" fontId="14" numFmtId="0" fillId="0" borderId="30" applyFont="1" applyNumberFormat="0" applyFill="0" applyBorder="1" applyAlignment="0"/>
    <xf xfId="0" fontId="1" numFmtId="0" fillId="0" borderId="31" applyFont="1" applyNumberFormat="0" applyFill="0" applyBorder="1" applyAlignment="1">
      <alignment horizontal="center" vertical="center" textRotation="0" wrapText="false" shrinkToFit="false"/>
    </xf>
    <xf xfId="0" fontId="14" numFmtId="0" fillId="0" borderId="32" applyFont="1" applyNumberFormat="0" applyFill="0" applyBorder="1" applyAlignment="0"/>
    <xf xfId="0" fontId="14" numFmtId="0" fillId="0" borderId="33" applyFont="1" applyNumberFormat="0" applyFill="0" applyBorder="1" applyAlignment="0"/>
    <xf xfId="0" fontId="14" numFmtId="0" fillId="0" borderId="34" applyFont="1" applyNumberFormat="0" applyFill="0" applyBorder="1" applyAlignment="0"/>
    <xf xfId="0" fontId="14" numFmtId="0" fillId="0" borderId="35" applyFont="1" applyNumberFormat="0" applyFill="0" applyBorder="1" applyAlignment="0"/>
    <xf xfId="0" fontId="14" numFmtId="0" fillId="0" borderId="36" applyFont="1" applyNumberFormat="0" applyFill="0" applyBorder="1" applyAlignment="0"/>
    <xf xfId="0" fontId="1" numFmtId="0" fillId="0" borderId="31" applyFont="1" applyNumberFormat="0" applyFill="0" applyBorder="1" applyAlignment="1">
      <alignment horizontal="center" vertical="center" textRotation="0" wrapText="true" shrinkToFit="false"/>
    </xf>
    <xf xfId="0" fontId="14" numFmtId="0" fillId="0" borderId="37" applyFont="1" applyNumberFormat="0" applyFill="0" applyBorder="1" applyAlignment="0"/>
    <xf xfId="0" fontId="14" numFmtId="0" fillId="0" borderId="38" applyFont="1" applyNumberFormat="0" applyFill="0" applyBorder="1" applyAlignment="0"/>
    <xf xfId="0" fontId="13" numFmtId="0" fillId="3" borderId="39" applyFont="1" applyNumberFormat="0" applyFill="1" applyBorder="1" applyAlignment="1">
      <alignment horizontal="center" vertical="bottom" textRotation="0" wrapText="false" shrinkToFit="false"/>
    </xf>
    <xf xfId="0" fontId="14" numFmtId="0" fillId="0" borderId="40" applyFont="1" applyNumberFormat="0" applyFill="0" applyBorder="1" applyAlignment="0"/>
    <xf xfId="0" fontId="14" numFmtId="0" fillId="0" borderId="41" applyFont="1" applyNumberFormat="0" applyFill="0" applyBorder="1" applyAlignment="0"/>
    <xf xfId="0" fontId="13" numFmtId="0" fillId="2" borderId="39" applyFont="1" applyNumberFormat="0" applyFill="1" applyBorder="1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1">
      <alignment horizontal="left" vertical="bottom" textRotation="0" wrapText="false" shrinkToFit="false"/>
    </xf>
    <xf xfId="0" fontId="20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e12a1ade910df8a3ccaca8a655f5dc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57150</xdr:colOff>
      <xdr:row>0</xdr:row>
      <xdr:rowOff>47625</xdr:rowOff>
    </xdr:from>
    <xdr:ext cx="609600" cy="590550"/>
    <xdr:pic>
      <xdr:nvPicPr>
        <xdr:cNvPr id="1" name="image12.jpg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Y1000"/>
  <sheetViews>
    <sheetView tabSelected="1" workbookViewId="0" showGridLines="true" showRowColHeaders="1" topLeftCell="A24">
      <selection activeCell="Y30" sqref="Y30"/>
    </sheetView>
  </sheetViews>
  <sheetFormatPr defaultRowHeight="14.4" outlineLevelRow="0" outlineLevelCol="0"/>
  <cols>
    <col min="1" max="1" width="8.81640625" customWidth="true" style="0"/>
    <col min="2" max="2" width="5.08984375" customWidth="true" style="0"/>
    <col min="3" max="3" width="6.7265625" customWidth="true" style="0"/>
    <col min="4" max="4" width="6.26953125" customWidth="true" style="0"/>
    <col min="5" max="5" width="7.54296875" customWidth="true" style="0"/>
    <col min="6" max="6" width="4.81640625" customWidth="true" style="0"/>
    <col min="7" max="7" width="7.54296875" customWidth="true" style="0"/>
    <col min="8" max="8" width="4.81640625" customWidth="true" style="0"/>
    <col min="9" max="9" width="7.54296875" customWidth="true" style="0"/>
    <col min="10" max="10" width="4.81640625" customWidth="true" style="0"/>
    <col min="11" max="11" width="7.54296875" customWidth="true" style="0"/>
    <col min="12" max="12" width="4.81640625" customWidth="true" style="0"/>
    <col min="13" max="13" width="7.54296875" customWidth="true" style="0"/>
    <col min="14" max="14" width="4.81640625" customWidth="true" style="0"/>
    <col min="15" max="15" width="7.54296875" customWidth="true" style="0"/>
    <col min="16" max="16" width="4.81640625" customWidth="true" style="0"/>
    <col min="17" max="17" width="7.54296875" customWidth="true" style="0"/>
    <col min="18" max="18" width="4.81640625" customWidth="true" style="0"/>
    <col min="19" max="19" width="7.54296875" customWidth="true" style="0"/>
    <col min="20" max="20" width="4.81640625" customWidth="true" style="0"/>
    <col min="21" max="21" width="7.54296875" customWidth="true" style="0"/>
    <col min="22" max="22" width="4.81640625" customWidth="true" style="0"/>
    <col min="23" max="23" width="7.54296875" customWidth="true" style="0"/>
    <col min="24" max="24" width="6.453125" customWidth="true" style="0"/>
    <col min="25" max="25" width="7.54296875" customWidth="true" style="0"/>
  </cols>
  <sheetData>
    <row r="1" spans="1:25">
      <c r="A1" s="50" t="s">
        <v>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</row>
    <row r="2" spans="1:25">
      <c r="A2" s="50" t="s">
        <v>1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</row>
    <row r="3" spans="1:25">
      <c r="A3" s="50" t="s">
        <v>2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</row>
    <row r="4" spans="1:25">
      <c r="A4" s="52" t="s">
        <v>3</v>
      </c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</row>
    <row r="5" spans="1:25">
      <c r="A5" s="53" t="s">
        <v>4</v>
      </c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</row>
    <row r="6" spans="1:25" customHeight="1" ht="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>
      <c r="A7" s="54" t="s">
        <v>5</v>
      </c>
      <c r="B7" s="57" t="s">
        <v>6</v>
      </c>
      <c r="C7" s="58"/>
      <c r="D7" s="63" t="s">
        <v>7</v>
      </c>
      <c r="E7" s="64"/>
      <c r="F7" s="66" t="s">
        <v>8</v>
      </c>
      <c r="G7" s="67"/>
      <c r="H7" s="67"/>
      <c r="I7" s="67"/>
      <c r="J7" s="67"/>
      <c r="K7" s="67"/>
      <c r="L7" s="67"/>
      <c r="M7" s="67"/>
      <c r="N7" s="67"/>
      <c r="O7" s="68"/>
      <c r="P7" s="69" t="s">
        <v>9</v>
      </c>
      <c r="Q7" s="67"/>
      <c r="R7" s="67"/>
      <c r="S7" s="67"/>
      <c r="T7" s="67"/>
      <c r="U7" s="67"/>
      <c r="V7" s="67"/>
      <c r="W7" s="68"/>
      <c r="X7" s="38" t="s">
        <v>10</v>
      </c>
      <c r="Y7" s="39"/>
    </row>
    <row r="8" spans="1:25">
      <c r="A8" s="55"/>
      <c r="B8" s="59"/>
      <c r="C8" s="60"/>
      <c r="D8" s="65"/>
      <c r="E8" s="41"/>
      <c r="F8" s="42" t="s">
        <v>11</v>
      </c>
      <c r="G8" s="43"/>
      <c r="H8" s="44" t="s">
        <v>12</v>
      </c>
      <c r="I8" s="43"/>
      <c r="J8" s="45" t="s">
        <v>13</v>
      </c>
      <c r="K8" s="43"/>
      <c r="L8" s="45" t="s">
        <v>14</v>
      </c>
      <c r="M8" s="43"/>
      <c r="N8" s="45" t="s">
        <v>15</v>
      </c>
      <c r="O8" s="46"/>
      <c r="P8" s="47" t="s">
        <v>16</v>
      </c>
      <c r="Q8" s="43"/>
      <c r="R8" s="48" t="s">
        <v>17</v>
      </c>
      <c r="S8" s="43"/>
      <c r="T8" s="49" t="s">
        <v>13</v>
      </c>
      <c r="U8" s="43"/>
      <c r="V8" s="49" t="s">
        <v>18</v>
      </c>
      <c r="W8" s="46"/>
      <c r="X8" s="40"/>
      <c r="Y8" s="41"/>
    </row>
    <row r="9" spans="1:25" customHeight="1" ht="15">
      <c r="A9" s="56"/>
      <c r="B9" s="61"/>
      <c r="C9" s="62"/>
      <c r="D9" s="2" t="s">
        <v>19</v>
      </c>
      <c r="E9" s="3" t="s">
        <v>20</v>
      </c>
      <c r="F9" s="4" t="s">
        <v>19</v>
      </c>
      <c r="G9" s="3" t="s">
        <v>20</v>
      </c>
      <c r="H9" s="2" t="s">
        <v>19</v>
      </c>
      <c r="I9" s="3" t="s">
        <v>20</v>
      </c>
      <c r="J9" s="2" t="s">
        <v>19</v>
      </c>
      <c r="K9" s="2" t="s">
        <v>20</v>
      </c>
      <c r="L9" s="2" t="s">
        <v>19</v>
      </c>
      <c r="M9" s="2" t="s">
        <v>20</v>
      </c>
      <c r="N9" s="2" t="s">
        <v>19</v>
      </c>
      <c r="O9" s="5" t="s">
        <v>20</v>
      </c>
      <c r="P9" s="4" t="s">
        <v>19</v>
      </c>
      <c r="Q9" s="2" t="s">
        <v>20</v>
      </c>
      <c r="R9" s="2" t="s">
        <v>19</v>
      </c>
      <c r="S9" s="2" t="s">
        <v>20</v>
      </c>
      <c r="T9" s="2" t="s">
        <v>19</v>
      </c>
      <c r="U9" s="2" t="s">
        <v>20</v>
      </c>
      <c r="V9" s="2" t="s">
        <v>19</v>
      </c>
      <c r="W9" s="5" t="s">
        <v>20</v>
      </c>
      <c r="X9" s="4" t="s">
        <v>19</v>
      </c>
      <c r="Y9" s="5" t="s">
        <v>20</v>
      </c>
    </row>
    <row r="10" spans="1:25" customHeight="1" ht="15">
      <c r="A10" s="34" t="s">
        <v>21</v>
      </c>
      <c r="B10" s="6" t="s">
        <v>22</v>
      </c>
      <c r="C10" s="7">
        <v>94</v>
      </c>
      <c r="D10" s="8">
        <f>SUM(F10,H10,J10,L10,N10)</f>
        <v>94</v>
      </c>
      <c r="E10" s="9">
        <f>IF(D10="","",D10/$C10)</f>
        <v>1</v>
      </c>
      <c r="F10" s="8">
        <v>17</v>
      </c>
      <c r="G10" s="9">
        <f>IF(F10="","",IF($D10=0,0,F10/$D10))</f>
        <v>0.18085106382979</v>
      </c>
      <c r="H10" s="8">
        <v>22</v>
      </c>
      <c r="I10" s="9">
        <f>IF(H10="","",IF($D10=0,0,H10/$D10))</f>
        <v>0.23404255319149</v>
      </c>
      <c r="J10" s="8">
        <v>22</v>
      </c>
      <c r="K10" s="9">
        <f>IF(J10="","",IF($D10=0,0,J10/$D10))</f>
        <v>0.23404255319149</v>
      </c>
      <c r="L10" s="8">
        <v>15</v>
      </c>
      <c r="M10" s="9">
        <f>IF(L10="","",IF($D10=0,0,L10/$D10))</f>
        <v>0.15957446808511</v>
      </c>
      <c r="N10" s="8">
        <v>18</v>
      </c>
      <c r="O10" s="9">
        <f>IF(N10="","",IF($D10=0,0,N10/$D10))</f>
        <v>0.19148936170213</v>
      </c>
      <c r="P10" s="8">
        <v>28</v>
      </c>
      <c r="Q10" s="9">
        <f>IF(P10="","",IF($D10=0,0,P10/$D10))</f>
        <v>0.29787234042553</v>
      </c>
      <c r="R10" s="8">
        <v>31</v>
      </c>
      <c r="S10" s="9">
        <f>IF(R10="","",IF($D10=0,0,R10/$D10))</f>
        <v>0.32978723404255</v>
      </c>
      <c r="T10" s="8">
        <v>18</v>
      </c>
      <c r="U10" s="9">
        <f>IF(T10="","",IF($D10=0,0,T10/$D10))</f>
        <v>0.19148936170213</v>
      </c>
      <c r="V10" s="8">
        <v>17</v>
      </c>
      <c r="W10" s="9">
        <f>IF(V10="","",IF($D10=0,0,V10/$D10))</f>
        <v>0.18085106382979</v>
      </c>
      <c r="X10" s="10">
        <f>SUM(V10,T10,R10,P10)</f>
        <v>94</v>
      </c>
      <c r="Y10" s="9">
        <f>X10/$C10</f>
        <v>1</v>
      </c>
    </row>
    <row r="11" spans="1:25">
      <c r="A11" s="35"/>
      <c r="B11" s="11" t="s">
        <v>23</v>
      </c>
      <c r="C11" s="7">
        <v>95</v>
      </c>
      <c r="D11" s="10">
        <f>SUM(F11,H11,J11,L11,N11)</f>
        <v>95</v>
      </c>
      <c r="E11" s="9">
        <f>IF(D11="","",D11/$C11)</f>
        <v>1</v>
      </c>
      <c r="F11" s="10">
        <v>15</v>
      </c>
      <c r="G11" s="9">
        <f>IF(F11="","",IF($D11=0,0,F11/$D11))</f>
        <v>0.15789473684211</v>
      </c>
      <c r="H11" s="10">
        <v>23</v>
      </c>
      <c r="I11" s="9">
        <f>IF(H11="","",IF($D11=0,0,H11/$D11))</f>
        <v>0.24210526315789</v>
      </c>
      <c r="J11" s="10">
        <v>21</v>
      </c>
      <c r="K11" s="9">
        <f>IF(J11="","",IF($D11=0,0,J11/$D11))</f>
        <v>0.22105263157895</v>
      </c>
      <c r="L11" s="10">
        <v>19</v>
      </c>
      <c r="M11" s="9">
        <f>IF(L11="","",IF($D11=0,0,L11/$D11))</f>
        <v>0.2</v>
      </c>
      <c r="N11" s="10">
        <v>17</v>
      </c>
      <c r="O11" s="9">
        <f>IF(N11="","",IF($D11=0,0,N11/$D11))</f>
        <v>0.17894736842105</v>
      </c>
      <c r="P11" s="10">
        <v>22</v>
      </c>
      <c r="Q11" s="9">
        <f>IF(P11="","",IF($D11=0,0,P11/$D11))</f>
        <v>0.23157894736842</v>
      </c>
      <c r="R11" s="10">
        <v>25</v>
      </c>
      <c r="S11" s="9">
        <f>IF(R11="","",IF($D11=0,0,R11/$D11))</f>
        <v>0.26315789473684</v>
      </c>
      <c r="T11" s="10">
        <v>20</v>
      </c>
      <c r="U11" s="9">
        <f>IF(T11="","",IF($D11=0,0,T11/$D11))</f>
        <v>0.21052631578947</v>
      </c>
      <c r="V11" s="10">
        <v>28</v>
      </c>
      <c r="W11" s="9">
        <f>IF(V11="","",IF($D11=0,0,V11/$D11))</f>
        <v>0.29473684210526</v>
      </c>
      <c r="X11" s="10">
        <f>SUM(V11,T11,R11,P11)</f>
        <v>95</v>
      </c>
      <c r="Y11" s="9">
        <f>X11/$C11</f>
        <v>1</v>
      </c>
    </row>
    <row r="12" spans="1:25">
      <c r="A12" s="36"/>
      <c r="B12" s="12" t="s">
        <v>24</v>
      </c>
      <c r="C12" s="13">
        <f>SUM(C10:C11)</f>
        <v>189</v>
      </c>
      <c r="D12" s="14">
        <f>SUM(D10:D11)</f>
        <v>189</v>
      </c>
      <c r="E12" s="15">
        <f>IF(D12="","",D12/$C12)</f>
        <v>1</v>
      </c>
      <c r="F12" s="14">
        <f>SUM(F10:F11)</f>
        <v>32</v>
      </c>
      <c r="G12" s="15">
        <f>IF(F12="","",IF($D12=0,0,F12/$D12))</f>
        <v>0.16931216931217</v>
      </c>
      <c r="H12" s="14">
        <f>SUM(H10:H11)</f>
        <v>45</v>
      </c>
      <c r="I12" s="15">
        <f>IF(H12="","",IF($D12=0,0,H12/$D12))</f>
        <v>0.23809523809524</v>
      </c>
      <c r="J12" s="14">
        <f>SUM(J10:J11)</f>
        <v>43</v>
      </c>
      <c r="K12" s="15">
        <f>IF(J12="","",IF($D12=0,0,J12/$D12))</f>
        <v>0.22751322751323</v>
      </c>
      <c r="L12" s="14">
        <f>SUM(L10:L11)</f>
        <v>34</v>
      </c>
      <c r="M12" s="15">
        <f>IF(L12="","",IF($D12=0,0,L12/$D12))</f>
        <v>0.17989417989418</v>
      </c>
      <c r="N12" s="14">
        <f>SUM(N10:N11)</f>
        <v>35</v>
      </c>
      <c r="O12" s="15">
        <f>IF(N12="","",IF($D12=0,0,N12/$D12))</f>
        <v>0.18518518518519</v>
      </c>
      <c r="P12" s="14">
        <f>SUM(P10:P11)</f>
        <v>50</v>
      </c>
      <c r="Q12" s="15">
        <f>IF(P12="","",IF($D12=0,0,P12/$D12))</f>
        <v>0.26455026455026</v>
      </c>
      <c r="R12" s="14">
        <f>SUM(R10:R11)</f>
        <v>56</v>
      </c>
      <c r="S12" s="15">
        <f>IF(R12="","",IF($D12=0,0,R12/$D12))</f>
        <v>0.2962962962963</v>
      </c>
      <c r="T12" s="14">
        <f>SUM(T10:T11)</f>
        <v>38</v>
      </c>
      <c r="U12" s="15">
        <f>IF(T12="","",IF($D12=0,0,T12/$D12))</f>
        <v>0.2010582010582</v>
      </c>
      <c r="V12" s="14">
        <f>SUM(V10:V11)</f>
        <v>45</v>
      </c>
      <c r="W12" s="15">
        <f>IF(V12="","",IF($D12=0,0,V12/$D12))</f>
        <v>0.23809523809524</v>
      </c>
      <c r="X12" s="14">
        <f>SUM(X10:X11)</f>
        <v>189</v>
      </c>
      <c r="Y12" s="24">
        <f>X12/$C12</f>
        <v>1</v>
      </c>
    </row>
    <row r="13" spans="1:25">
      <c r="A13" s="37" t="s">
        <v>25</v>
      </c>
      <c r="B13" s="11" t="s">
        <v>22</v>
      </c>
      <c r="C13" s="7">
        <v>102</v>
      </c>
      <c r="D13" s="10">
        <f>SUM(F13,H13,J13,L13,N13)</f>
        <v>102</v>
      </c>
      <c r="E13" s="9">
        <f>IF(D13="","",D13/$C13)</f>
        <v>1</v>
      </c>
      <c r="F13" s="10">
        <v>27</v>
      </c>
      <c r="G13" s="9">
        <f>IF(F13="","",IF($D13=0,0,F13/$D13))</f>
        <v>0.26470588235294</v>
      </c>
      <c r="H13" s="10">
        <v>19</v>
      </c>
      <c r="I13" s="9">
        <f>IF(H13="","",IF($D13=0,0,H13/$D13))</f>
        <v>0.18627450980392</v>
      </c>
      <c r="J13" s="10">
        <v>21</v>
      </c>
      <c r="K13" s="9">
        <f>IF(J13="","",IF($D13=0,0,J13/$D13))</f>
        <v>0.20588235294118</v>
      </c>
      <c r="L13" s="10">
        <v>15</v>
      </c>
      <c r="M13" s="9">
        <f>IF(L13="","",IF($D13=0,0,L13/$D13))</f>
        <v>0.14705882352941</v>
      </c>
      <c r="N13" s="10">
        <v>20</v>
      </c>
      <c r="O13" s="9">
        <f>IF(N13="","",IF($D13=0,0,N13/$D13))</f>
        <v>0.19607843137255</v>
      </c>
      <c r="P13" s="10">
        <v>28</v>
      </c>
      <c r="Q13" s="9">
        <f>IF(P13="","",IF($D13=0,0,P13/$D13))</f>
        <v>0.27450980392157</v>
      </c>
      <c r="R13" s="10">
        <v>24</v>
      </c>
      <c r="S13" s="9">
        <f>IF(R13="","",IF($D13=0,0,R13/$D13))</f>
        <v>0.23529411764706</v>
      </c>
      <c r="T13" s="10">
        <v>29</v>
      </c>
      <c r="U13" s="9">
        <f>IF(T13="","",IF($D13=0,0,T13/$D13))</f>
        <v>0.2843137254902</v>
      </c>
      <c r="V13" s="10">
        <v>21</v>
      </c>
      <c r="W13" s="9">
        <f>IF(V13="","",IF($D13=0,0,V13/$D13))</f>
        <v>0.20588235294118</v>
      </c>
      <c r="X13" s="10">
        <f>SUM(V13,T13,R13,P13)</f>
        <v>102</v>
      </c>
      <c r="Y13" s="9">
        <f>X13/$C13</f>
        <v>1</v>
      </c>
    </row>
    <row r="14" spans="1:25">
      <c r="A14" s="35"/>
      <c r="B14" s="11" t="s">
        <v>23</v>
      </c>
      <c r="C14" s="7">
        <v>118</v>
      </c>
      <c r="D14" s="10">
        <f>SUM(F14,H14,J14,L14,N14)</f>
        <v>118</v>
      </c>
      <c r="E14" s="9">
        <f>IF(D14="","",D14/$C14)</f>
        <v>1</v>
      </c>
      <c r="F14" s="10">
        <v>20</v>
      </c>
      <c r="G14" s="9">
        <f>IF(F14="","",IF($D14=0,0,F14/$D14))</f>
        <v>0.16949152542373</v>
      </c>
      <c r="H14" s="10">
        <v>25</v>
      </c>
      <c r="I14" s="9">
        <f>IF(H14="","",IF($D14=0,0,H14/$D14))</f>
        <v>0.21186440677966</v>
      </c>
      <c r="J14" s="10">
        <v>26</v>
      </c>
      <c r="K14" s="9">
        <f>IF(J14="","",IF($D14=0,0,J14/$D14))</f>
        <v>0.22033898305085</v>
      </c>
      <c r="L14" s="10">
        <v>24</v>
      </c>
      <c r="M14" s="9">
        <f>IF(L14="","",IF($D14=0,0,L14/$D14))</f>
        <v>0.20338983050847</v>
      </c>
      <c r="N14" s="10">
        <v>23</v>
      </c>
      <c r="O14" s="9">
        <f>IF(N14="","",IF($D14=0,0,N14/$D14))</f>
        <v>0.19491525423729</v>
      </c>
      <c r="P14" s="10">
        <v>23</v>
      </c>
      <c r="Q14" s="9">
        <f>IF(P14="","",IF($D14=0,0,P14/$D14))</f>
        <v>0.19491525423729</v>
      </c>
      <c r="R14" s="10">
        <v>38</v>
      </c>
      <c r="S14" s="9">
        <f>IF(R14="","",IF($D14=0,0,R14/$D14))</f>
        <v>0.32203389830508</v>
      </c>
      <c r="T14" s="10">
        <v>25</v>
      </c>
      <c r="U14" s="9">
        <f>IF(T14="","",IF($D14=0,0,T14/$D14))</f>
        <v>0.21186440677966</v>
      </c>
      <c r="V14" s="10">
        <v>32</v>
      </c>
      <c r="W14" s="9">
        <f>IF(V14="","",IF($D14=0,0,V14/$D14))</f>
        <v>0.27118644067797</v>
      </c>
      <c r="X14" s="10">
        <f>SUM(V14,T14,R14,P14)</f>
        <v>118</v>
      </c>
      <c r="Y14" s="9">
        <f>X14/$C14</f>
        <v>1</v>
      </c>
    </row>
    <row r="15" spans="1:25">
      <c r="A15" s="36"/>
      <c r="B15" s="12" t="s">
        <v>24</v>
      </c>
      <c r="C15" s="13">
        <f>SUM(C13:C14)</f>
        <v>220</v>
      </c>
      <c r="D15" s="14">
        <f>SUM(D13:D14)</f>
        <v>220</v>
      </c>
      <c r="E15" s="15">
        <f>IF(D15="","",D15/$C15)</f>
        <v>1</v>
      </c>
      <c r="F15" s="14">
        <f>SUM(F13:F14)</f>
        <v>47</v>
      </c>
      <c r="G15" s="15">
        <f>IF(F15="","",IF($D15=0,0,F15/$D15))</f>
        <v>0.21363636363636</v>
      </c>
      <c r="H15" s="14">
        <f>SUM(H13:H14)</f>
        <v>44</v>
      </c>
      <c r="I15" s="15">
        <f>IF(H15="","",IF($D15=0,0,H15/$D15))</f>
        <v>0.2</v>
      </c>
      <c r="J15" s="14">
        <f>SUM(J13:J14)</f>
        <v>47</v>
      </c>
      <c r="K15" s="15">
        <f>IF(J15="","",IF($D15=0,0,J15/$D15))</f>
        <v>0.21363636363636</v>
      </c>
      <c r="L15" s="14">
        <f>SUM(L13:L14)</f>
        <v>39</v>
      </c>
      <c r="M15" s="15">
        <f>IF(L15="","",IF($D15=0,0,L15/$D15))</f>
        <v>0.17727272727273</v>
      </c>
      <c r="N15" s="14">
        <f>SUM(N13:N14)</f>
        <v>43</v>
      </c>
      <c r="O15" s="15">
        <f>IF(N15="","",IF($D15=0,0,N15/$D15))</f>
        <v>0.19545454545455</v>
      </c>
      <c r="P15" s="14">
        <f>SUM(P13:P14)</f>
        <v>51</v>
      </c>
      <c r="Q15" s="15">
        <f>IF(P15="","",IF($D15=0,0,P15/$D15))</f>
        <v>0.23181818181818</v>
      </c>
      <c r="R15" s="14">
        <f>SUM(R13:R14)</f>
        <v>62</v>
      </c>
      <c r="S15" s="15">
        <f>IF(R15="","",IF($D15=0,0,R15/$D15))</f>
        <v>0.28181818181818</v>
      </c>
      <c r="T15" s="14">
        <f>SUM(T13:T14)</f>
        <v>54</v>
      </c>
      <c r="U15" s="15">
        <f>IF(T15="","",IF($D15=0,0,T15/$D15))</f>
        <v>0.24545454545455</v>
      </c>
      <c r="V15" s="14">
        <f>SUM(V13:V14)</f>
        <v>53</v>
      </c>
      <c r="W15" s="15">
        <f>IF(V15="","",IF($D15=0,0,V15/$D15))</f>
        <v>0.24090909090909</v>
      </c>
      <c r="X15" s="14">
        <f>SUM(X13:X14)</f>
        <v>220</v>
      </c>
      <c r="Y15" s="24">
        <f>X15/$C15</f>
        <v>1</v>
      </c>
    </row>
    <row r="16" spans="1:25">
      <c r="A16" s="37" t="s">
        <v>26</v>
      </c>
      <c r="B16" s="11" t="s">
        <v>22</v>
      </c>
      <c r="C16" s="7">
        <v>109</v>
      </c>
      <c r="D16" s="10">
        <f>SUM(F16,H16,J16,L16,N16)</f>
        <v>109</v>
      </c>
      <c r="E16" s="9">
        <f>IF(D16="","",D16/$C16)</f>
        <v>1</v>
      </c>
      <c r="F16" s="10">
        <v>18</v>
      </c>
      <c r="G16" s="9">
        <f>IF(F16="","",IF($D16=0,0,F16/$D16))</f>
        <v>0.1651376146789</v>
      </c>
      <c r="H16" s="10">
        <v>23</v>
      </c>
      <c r="I16" s="9">
        <f>IF(H16="","",IF($D16=0,0,H16/$D16))</f>
        <v>0.21100917431193</v>
      </c>
      <c r="J16" s="10">
        <v>21</v>
      </c>
      <c r="K16" s="9">
        <f>IF(J16="","",IF($D16=0,0,J16/$D16))</f>
        <v>0.19266055045872</v>
      </c>
      <c r="L16" s="10">
        <v>23</v>
      </c>
      <c r="M16" s="9">
        <f>IF(L16="","",IF($D16=0,0,L16/$D16))</f>
        <v>0.21100917431193</v>
      </c>
      <c r="N16" s="10">
        <v>24</v>
      </c>
      <c r="O16" s="9">
        <f>IF(N16="","",IF($D16=0,0,N16/$D16))</f>
        <v>0.22018348623853</v>
      </c>
      <c r="P16" s="10">
        <v>21</v>
      </c>
      <c r="Q16" s="9">
        <f>IF(P16="","",IF($D16=0,0,P16/$D16))</f>
        <v>0.19266055045872</v>
      </c>
      <c r="R16" s="10">
        <v>29</v>
      </c>
      <c r="S16" s="9">
        <f>IF(R16="","",IF($D16=0,0,R16/$D16))</f>
        <v>0.26605504587156</v>
      </c>
      <c r="T16" s="10">
        <v>31</v>
      </c>
      <c r="U16" s="9">
        <f>IF(T16="","",IF($D16=0,0,T16/$D16))</f>
        <v>0.28440366972477</v>
      </c>
      <c r="V16" s="10">
        <v>28</v>
      </c>
      <c r="W16" s="9">
        <f>IF(V16="","",IF($D16=0,0,V16/$D16))</f>
        <v>0.25688073394495</v>
      </c>
      <c r="X16" s="10">
        <f>SUM(V16,T16,R16,P16)</f>
        <v>109</v>
      </c>
      <c r="Y16" s="9">
        <f>X16/$C16</f>
        <v>1</v>
      </c>
    </row>
    <row r="17" spans="1:25">
      <c r="A17" s="35"/>
      <c r="B17" s="11" t="s">
        <v>23</v>
      </c>
      <c r="C17" s="7">
        <v>119</v>
      </c>
      <c r="D17" s="10">
        <f>SUM(F17,H17,J17,L17,N17)</f>
        <v>119</v>
      </c>
      <c r="E17" s="9">
        <f>IF(D17="","",D17/$C17)</f>
        <v>1</v>
      </c>
      <c r="F17" s="10">
        <v>22</v>
      </c>
      <c r="G17" s="9">
        <f>IF(F17="","",IF($D17=0,0,F17/$D17))</f>
        <v>0.18487394957983</v>
      </c>
      <c r="H17" s="10">
        <v>21</v>
      </c>
      <c r="I17" s="9">
        <f>IF(H17="","",IF($D17=0,0,H17/$D17))</f>
        <v>0.17647058823529</v>
      </c>
      <c r="J17" s="10">
        <v>33</v>
      </c>
      <c r="K17" s="9">
        <f>IF(J17="","",IF($D17=0,0,J17/$D17))</f>
        <v>0.27731092436975</v>
      </c>
      <c r="L17" s="10">
        <v>19</v>
      </c>
      <c r="M17" s="9">
        <f>IF(L17="","",IF($D17=0,0,L17/$D17))</f>
        <v>0.15966386554622</v>
      </c>
      <c r="N17" s="10">
        <v>24</v>
      </c>
      <c r="O17" s="9">
        <f>IF(N17="","",IF($D17=0,0,N17/$D17))</f>
        <v>0.20168067226891</v>
      </c>
      <c r="P17" s="10">
        <v>27</v>
      </c>
      <c r="Q17" s="9">
        <f>IF(P17="","",IF($D17=0,0,P17/$D17))</f>
        <v>0.22689075630252</v>
      </c>
      <c r="R17" s="10">
        <v>29</v>
      </c>
      <c r="S17" s="9">
        <f>IF(R17="","",IF($D17=0,0,R17/$D17))</f>
        <v>0.2436974789916</v>
      </c>
      <c r="T17" s="10">
        <v>34</v>
      </c>
      <c r="U17" s="9">
        <f>IF(T17="","",IF($D17=0,0,T17/$D17))</f>
        <v>0.28571428571429</v>
      </c>
      <c r="V17" s="10">
        <v>29</v>
      </c>
      <c r="W17" s="9">
        <f>IF(V17="","",IF($D17=0,0,V17/$D17))</f>
        <v>0.2436974789916</v>
      </c>
      <c r="X17" s="10">
        <f>SUM(V17,T17,R17,P17)</f>
        <v>119</v>
      </c>
      <c r="Y17" s="9">
        <f>X17/$C17</f>
        <v>1</v>
      </c>
    </row>
    <row r="18" spans="1:25">
      <c r="A18" s="36"/>
      <c r="B18" s="12" t="s">
        <v>24</v>
      </c>
      <c r="C18" s="13">
        <f>SUM(C16:C17)</f>
        <v>228</v>
      </c>
      <c r="D18" s="14">
        <f>SUM(D16:D17)</f>
        <v>228</v>
      </c>
      <c r="E18" s="15">
        <f>IF(D18="","",D18/$C18)</f>
        <v>1</v>
      </c>
      <c r="F18" s="14">
        <f>SUM(F16:F17)</f>
        <v>40</v>
      </c>
      <c r="G18" s="15">
        <f>IF(F18="","",IF($D18=0,0,F18/$D18))</f>
        <v>0.17543859649123</v>
      </c>
      <c r="H18" s="14">
        <f>SUM(H16:H17)</f>
        <v>44</v>
      </c>
      <c r="I18" s="15">
        <f>IF(H18="","",IF($D18=0,0,H18/$D18))</f>
        <v>0.19298245614035</v>
      </c>
      <c r="J18" s="14">
        <f>SUM(J16:J17)</f>
        <v>54</v>
      </c>
      <c r="K18" s="15">
        <f>IF(J18="","",IF($D18=0,0,J18/$D18))</f>
        <v>0.23684210526316</v>
      </c>
      <c r="L18" s="14">
        <f>SUM(L16:L17)</f>
        <v>42</v>
      </c>
      <c r="M18" s="15">
        <f>IF(L18="","",IF($D18=0,0,L18/$D18))</f>
        <v>0.18421052631579</v>
      </c>
      <c r="N18" s="14">
        <f>SUM(N16:N17)</f>
        <v>48</v>
      </c>
      <c r="O18" s="15">
        <f>IF(N18="","",IF($D18=0,0,N18/$D18))</f>
        <v>0.21052631578947</v>
      </c>
      <c r="P18" s="14">
        <f>SUM(P16:P17)</f>
        <v>48</v>
      </c>
      <c r="Q18" s="15">
        <f>IF(P18="","",IF($D18=0,0,P18/$D18))</f>
        <v>0.21052631578947</v>
      </c>
      <c r="R18" s="14">
        <f>SUM(R16:R17)</f>
        <v>58</v>
      </c>
      <c r="S18" s="15">
        <f>IF(R18="","",IF($D18=0,0,R18/$D18))</f>
        <v>0.25438596491228</v>
      </c>
      <c r="T18" s="14">
        <f>SUM(T16:T17)</f>
        <v>65</v>
      </c>
      <c r="U18" s="15">
        <f>IF(T18="","",IF($D18=0,0,T18/$D18))</f>
        <v>0.28508771929825</v>
      </c>
      <c r="V18" s="14">
        <f>SUM(V16:V17)</f>
        <v>57</v>
      </c>
      <c r="W18" s="15">
        <f>IF(V18="","",IF($D18=0,0,V18/$D18))</f>
        <v>0.25</v>
      </c>
      <c r="X18" s="14">
        <f>SUM(X16:X17)</f>
        <v>228</v>
      </c>
      <c r="Y18" s="24">
        <f>X18/$C18</f>
        <v>1</v>
      </c>
    </row>
    <row r="19" spans="1:25">
      <c r="A19" s="37" t="s">
        <v>27</v>
      </c>
      <c r="B19" s="11" t="s">
        <v>22</v>
      </c>
      <c r="C19" s="7">
        <v>110</v>
      </c>
      <c r="D19" s="10">
        <f>SUM(F19,H19,J19,L19,N19)</f>
        <v>110</v>
      </c>
      <c r="E19" s="9">
        <f>IF(D19="","",D19/$C19)</f>
        <v>1</v>
      </c>
      <c r="F19" s="10">
        <v>24</v>
      </c>
      <c r="G19" s="9">
        <f>IF(F19="","",IF($D19=0,0,F19/$D19))</f>
        <v>0.21818181818182</v>
      </c>
      <c r="H19" s="10">
        <v>19</v>
      </c>
      <c r="I19" s="9">
        <f>IF(H19="","",IF($D19=0,0,H19/$D19))</f>
        <v>0.17272727272727</v>
      </c>
      <c r="J19" s="10">
        <v>19</v>
      </c>
      <c r="K19" s="9">
        <f>IF(J19="","",IF($D19=0,0,J19/$D19))</f>
        <v>0.17272727272727</v>
      </c>
      <c r="L19" s="10">
        <v>26</v>
      </c>
      <c r="M19" s="9">
        <f>IF(L19="","",IF($D19=0,0,L19/$D19))</f>
        <v>0.23636363636364</v>
      </c>
      <c r="N19" s="10">
        <v>22</v>
      </c>
      <c r="O19" s="9">
        <f>IF(N19="","",IF($D19=0,0,N19/$D19))</f>
        <v>0.2</v>
      </c>
      <c r="P19" s="10">
        <v>31</v>
      </c>
      <c r="Q19" s="9">
        <f>IF(P19="","",IF($D19=0,0,P19/$D19))</f>
        <v>0.28181818181818</v>
      </c>
      <c r="R19" s="10">
        <v>23</v>
      </c>
      <c r="S19" s="9">
        <f>IF(R19="","",IF($D19=0,0,R19/$D19))</f>
        <v>0.20909090909091</v>
      </c>
      <c r="T19" s="10">
        <v>27</v>
      </c>
      <c r="U19" s="9">
        <f>IF(T19="","",IF($D19=0,0,T19/$D19))</f>
        <v>0.24545454545455</v>
      </c>
      <c r="V19" s="10">
        <v>29</v>
      </c>
      <c r="W19" s="9">
        <f>IF(V19="","",IF($D19=0,0,V19/$D19))</f>
        <v>0.26363636363636</v>
      </c>
      <c r="X19" s="10">
        <f>SUM(V19,T19,R19,P19)</f>
        <v>110</v>
      </c>
      <c r="Y19" s="9">
        <f>X19/$C19</f>
        <v>1</v>
      </c>
    </row>
    <row r="20" spans="1:25">
      <c r="A20" s="35"/>
      <c r="B20" s="11" t="s">
        <v>23</v>
      </c>
      <c r="C20" s="7">
        <v>114</v>
      </c>
      <c r="D20" s="10">
        <f>SUM(F20,H20,J20,L20,N20)</f>
        <v>114</v>
      </c>
      <c r="E20" s="9">
        <f>IF(D20="","",D20/$C20)</f>
        <v>1</v>
      </c>
      <c r="F20" s="10">
        <v>17</v>
      </c>
      <c r="G20" s="9">
        <f>IF(F20="","",IF($D20=0,0,F20/$D20))</f>
        <v>0.14912280701754</v>
      </c>
      <c r="H20" s="10">
        <v>18</v>
      </c>
      <c r="I20" s="9">
        <f>IF(H20="","",IF($D20=0,0,H20/$D20))</f>
        <v>0.15789473684211</v>
      </c>
      <c r="J20" s="10">
        <v>29</v>
      </c>
      <c r="K20" s="9">
        <f>IF(J20="","",IF($D20=0,0,J20/$D20))</f>
        <v>0.25438596491228</v>
      </c>
      <c r="L20" s="10">
        <v>23</v>
      </c>
      <c r="M20" s="9">
        <f>IF(L20="","",IF($D20=0,0,L20/$D20))</f>
        <v>0.20175438596491</v>
      </c>
      <c r="N20" s="10">
        <v>27</v>
      </c>
      <c r="O20" s="9">
        <f>IF(N20="","",IF($D20=0,0,N20/$D20))</f>
        <v>0.23684210526316</v>
      </c>
      <c r="P20" s="10">
        <v>25</v>
      </c>
      <c r="Q20" s="9">
        <f>IF(P20="","",IF($D20=0,0,P20/$D20))</f>
        <v>0.21929824561404</v>
      </c>
      <c r="R20" s="10">
        <v>32</v>
      </c>
      <c r="S20" s="9">
        <f>IF(R20="","",IF($D20=0,0,R20/$D20))</f>
        <v>0.28070175438596</v>
      </c>
      <c r="T20" s="10">
        <v>37</v>
      </c>
      <c r="U20" s="9">
        <f>IF(T20="","",IF($D20=0,0,T20/$D20))</f>
        <v>0.32456140350877</v>
      </c>
      <c r="V20" s="10">
        <v>20</v>
      </c>
      <c r="W20" s="9">
        <f>IF(V20="","",IF($D20=0,0,V20/$D20))</f>
        <v>0.17543859649123</v>
      </c>
      <c r="X20" s="10">
        <f>SUM(V20,T20,R20,P20)</f>
        <v>114</v>
      </c>
      <c r="Y20" s="9">
        <f>X20/$C20</f>
        <v>1</v>
      </c>
    </row>
    <row r="21" spans="1:25">
      <c r="A21" s="36"/>
      <c r="B21" s="12" t="s">
        <v>24</v>
      </c>
      <c r="C21" s="13">
        <f>SUM(C19:C20)</f>
        <v>224</v>
      </c>
      <c r="D21" s="14">
        <f>SUM(D19:D20)</f>
        <v>224</v>
      </c>
      <c r="E21" s="15">
        <f>IF(D21="","",D21/$C21)</f>
        <v>1</v>
      </c>
      <c r="F21" s="14">
        <f>SUM(F19:F20)</f>
        <v>41</v>
      </c>
      <c r="G21" s="15">
        <f>IF(F21="","",IF($D21=0,0,F21/$D21))</f>
        <v>0.18303571428571</v>
      </c>
      <c r="H21" s="14">
        <f>SUM(H19:H20)</f>
        <v>37</v>
      </c>
      <c r="I21" s="15">
        <f>IF(H21="","",IF($D21=0,0,H21/$D21))</f>
        <v>0.16517857142857</v>
      </c>
      <c r="J21" s="14">
        <f>SUM(J19:J20)</f>
        <v>48</v>
      </c>
      <c r="K21" s="15">
        <f>IF(J21="","",IF($D21=0,0,J21/$D21))</f>
        <v>0.21428571428571</v>
      </c>
      <c r="L21" s="14">
        <f>SUM(L19:L20)</f>
        <v>49</v>
      </c>
      <c r="M21" s="15">
        <f>IF(L21="","",IF($D21=0,0,L21/$D21))</f>
        <v>0.21875</v>
      </c>
      <c r="N21" s="14">
        <f>SUM(N19:N20)</f>
        <v>49</v>
      </c>
      <c r="O21" s="15">
        <f>IF(N21="","",IF($D21=0,0,N21/$D21))</f>
        <v>0.21875</v>
      </c>
      <c r="P21" s="14">
        <f>SUM(P19:P20)</f>
        <v>56</v>
      </c>
      <c r="Q21" s="15">
        <f>IF(P21="","",IF($D21=0,0,P21/$D21))</f>
        <v>0.25</v>
      </c>
      <c r="R21" s="14">
        <f>SUM(R19:R20)</f>
        <v>55</v>
      </c>
      <c r="S21" s="15">
        <f>IF(R21="","",IF($D21=0,0,R21/$D21))</f>
        <v>0.24553571428571</v>
      </c>
      <c r="T21" s="14">
        <f>SUM(T19:T20)</f>
        <v>64</v>
      </c>
      <c r="U21" s="15">
        <f>IF(T21="","",IF($D21=0,0,T21/$D21))</f>
        <v>0.28571428571429</v>
      </c>
      <c r="V21" s="14">
        <f>SUM(V19:V20)</f>
        <v>49</v>
      </c>
      <c r="W21" s="15">
        <f>IF(V21="","",IF($D21=0,0,V21/$D21))</f>
        <v>0.21875</v>
      </c>
      <c r="X21" s="14">
        <f>SUM(X19:X20)</f>
        <v>224</v>
      </c>
      <c r="Y21" s="24">
        <f>X21/$C21</f>
        <v>1</v>
      </c>
    </row>
    <row r="22" spans="1:25">
      <c r="A22" s="37" t="s">
        <v>28</v>
      </c>
      <c r="B22" s="11" t="s">
        <v>22</v>
      </c>
      <c r="C22" s="7">
        <v>120</v>
      </c>
      <c r="D22" s="10">
        <f>SUM(F22,H22,J22,L22,N22)</f>
        <v>120</v>
      </c>
      <c r="E22" s="9">
        <f>IF(D22="","",D22/$C22)</f>
        <v>1</v>
      </c>
      <c r="F22" s="10">
        <v>19</v>
      </c>
      <c r="G22" s="9">
        <f>IF(F22="","",IF($D22=0,0,F22/$D22))</f>
        <v>0.15833333333333</v>
      </c>
      <c r="H22" s="10">
        <v>21</v>
      </c>
      <c r="I22" s="9">
        <f>IF(H22="","",IF($D22=0,0,H22/$D22))</f>
        <v>0.175</v>
      </c>
      <c r="J22" s="10">
        <v>19</v>
      </c>
      <c r="K22" s="9">
        <f>IF(J22="","",IF($D22=0,0,J22/$D22))</f>
        <v>0.15833333333333</v>
      </c>
      <c r="L22" s="10">
        <v>34</v>
      </c>
      <c r="M22" s="9">
        <f>IF(L22="","",IF($D22=0,0,L22/$D22))</f>
        <v>0.28333333333333</v>
      </c>
      <c r="N22" s="10">
        <v>27</v>
      </c>
      <c r="O22" s="9">
        <f>IF(N22="","",IF($D22=0,0,N22/$D22))</f>
        <v>0.225</v>
      </c>
      <c r="P22" s="10">
        <v>29</v>
      </c>
      <c r="Q22" s="9">
        <f>IF(P22="","",IF($D22=0,0,P22/$D22))</f>
        <v>0.24166666666667</v>
      </c>
      <c r="R22" s="10">
        <v>27</v>
      </c>
      <c r="S22" s="9">
        <f>IF(R22="","",IF($D22=0,0,R22/$D22))</f>
        <v>0.225</v>
      </c>
      <c r="T22" s="10">
        <v>35</v>
      </c>
      <c r="U22" s="9">
        <f>IF(T22="","",IF($D22=0,0,T22/$D22))</f>
        <v>0.29166666666667</v>
      </c>
      <c r="V22" s="10">
        <v>29</v>
      </c>
      <c r="W22" s="9">
        <f>IF(V22="","",IF($D22=0,0,V22/$D22))</f>
        <v>0.24166666666667</v>
      </c>
      <c r="X22" s="10">
        <f>SUM(V22,T22,R22,P22)</f>
        <v>120</v>
      </c>
      <c r="Y22" s="9">
        <f>X22/$C22</f>
        <v>1</v>
      </c>
    </row>
    <row r="23" spans="1:25">
      <c r="A23" s="35"/>
      <c r="B23" s="11" t="s">
        <v>23</v>
      </c>
      <c r="C23" s="7">
        <v>114</v>
      </c>
      <c r="D23" s="10">
        <f>SUM(F23,H23,J23,L23,N23)</f>
        <v>114</v>
      </c>
      <c r="E23" s="9">
        <f>IF(D23="","",D23/$C23)</f>
        <v>1</v>
      </c>
      <c r="F23" s="10">
        <v>28</v>
      </c>
      <c r="G23" s="9">
        <f>IF(F23="","",IF($D23=0,0,F23/$D23))</f>
        <v>0.24561403508772</v>
      </c>
      <c r="H23" s="10">
        <v>20</v>
      </c>
      <c r="I23" s="9">
        <f>IF(H23="","",IF($D23=0,0,H23/$D23))</f>
        <v>0.17543859649123</v>
      </c>
      <c r="J23" s="10">
        <v>29</v>
      </c>
      <c r="K23" s="9">
        <f>IF(J23="","",IF($D23=0,0,J23/$D23))</f>
        <v>0.25438596491228</v>
      </c>
      <c r="L23" s="10">
        <v>17</v>
      </c>
      <c r="M23" s="9">
        <f>IF(L23="","",IF($D23=0,0,L23/$D23))</f>
        <v>0.14912280701754</v>
      </c>
      <c r="N23" s="10">
        <v>20</v>
      </c>
      <c r="O23" s="9">
        <f>IF(N23="","",IF($D23=0,0,N23/$D23))</f>
        <v>0.17543859649123</v>
      </c>
      <c r="P23" s="10">
        <v>29</v>
      </c>
      <c r="Q23" s="9">
        <f>IF(P23="","",IF($D23=0,0,P23/$D23))</f>
        <v>0.25438596491228</v>
      </c>
      <c r="R23" s="10">
        <v>28</v>
      </c>
      <c r="S23" s="9">
        <f>IF(R23="","",IF($D23=0,0,R23/$D23))</f>
        <v>0.24561403508772</v>
      </c>
      <c r="T23" s="10">
        <v>36</v>
      </c>
      <c r="U23" s="9">
        <f>IF(T23="","",IF($D23=0,0,T23/$D23))</f>
        <v>0.31578947368421</v>
      </c>
      <c r="V23" s="10">
        <v>21</v>
      </c>
      <c r="W23" s="9">
        <f>IF(V23="","",IF($D23=0,0,V23/$D23))</f>
        <v>0.18421052631579</v>
      </c>
      <c r="X23" s="10">
        <f>SUM(V23,T23,R23,P23)</f>
        <v>114</v>
      </c>
      <c r="Y23" s="9">
        <f>X23/$C23</f>
        <v>1</v>
      </c>
    </row>
    <row r="24" spans="1:25">
      <c r="A24" s="36"/>
      <c r="B24" s="12" t="s">
        <v>24</v>
      </c>
      <c r="C24" s="13">
        <f>SUM(C22:C23)</f>
        <v>234</v>
      </c>
      <c r="D24" s="14">
        <f>SUM(D22:D23)</f>
        <v>234</v>
      </c>
      <c r="E24" s="15">
        <f>IF(D24="","",D24/$C24)</f>
        <v>1</v>
      </c>
      <c r="F24" s="14">
        <f>SUM(F22:F23)</f>
        <v>47</v>
      </c>
      <c r="G24" s="15">
        <f>IF(F24="","",IF($D24=0,0,F24/$D24))</f>
        <v>0.2008547008547</v>
      </c>
      <c r="H24" s="14">
        <f>SUM(H22:H23)</f>
        <v>41</v>
      </c>
      <c r="I24" s="15">
        <f>IF(H24="","",IF($D24=0,0,H24/$D24))</f>
        <v>0.17521367521368</v>
      </c>
      <c r="J24" s="14">
        <f>SUM(J22:J23)</f>
        <v>48</v>
      </c>
      <c r="K24" s="15">
        <f>IF(J24="","",IF($D24=0,0,J24/$D24))</f>
        <v>0.20512820512821</v>
      </c>
      <c r="L24" s="14">
        <f>SUM(L22:L23)</f>
        <v>51</v>
      </c>
      <c r="M24" s="15">
        <f>IF(L24="","",IF($D24=0,0,L24/$D24))</f>
        <v>0.21794871794872</v>
      </c>
      <c r="N24" s="14">
        <f>SUM(N22:N23)</f>
        <v>47</v>
      </c>
      <c r="O24" s="15">
        <f>IF(N24="","",IF($D24=0,0,N24/$D24))</f>
        <v>0.2008547008547</v>
      </c>
      <c r="P24" s="14">
        <f>SUM(P22:P23)</f>
        <v>58</v>
      </c>
      <c r="Q24" s="15">
        <f>IF(P24="","",IF($D24=0,0,P24/$D24))</f>
        <v>0.24786324786325</v>
      </c>
      <c r="R24" s="14">
        <f>SUM(R22:R23)</f>
        <v>55</v>
      </c>
      <c r="S24" s="15">
        <f>IF(R24="","",IF($D24=0,0,R24/$D24))</f>
        <v>0.23504273504274</v>
      </c>
      <c r="T24" s="14">
        <f>SUM(T22:T23)</f>
        <v>71</v>
      </c>
      <c r="U24" s="15">
        <f>IF(T24="","",IF($D24=0,0,T24/$D24))</f>
        <v>0.3034188034188</v>
      </c>
      <c r="V24" s="14">
        <f>SUM(V22:V23)</f>
        <v>50</v>
      </c>
      <c r="W24" s="15">
        <f>IF(V24="","",IF($D24=0,0,V24/$D24))</f>
        <v>0.21367521367521</v>
      </c>
      <c r="X24" s="14">
        <f>SUM(X22:X23)</f>
        <v>234</v>
      </c>
      <c r="Y24" s="24">
        <f>X24/$C24</f>
        <v>1</v>
      </c>
    </row>
    <row r="25" spans="1:25">
      <c r="A25" s="37" t="s">
        <v>29</v>
      </c>
      <c r="B25" s="11" t="s">
        <v>22</v>
      </c>
      <c r="C25" s="7">
        <v>128</v>
      </c>
      <c r="D25" s="10">
        <f>SUM(F25,H25,J25,L25,N25)</f>
        <v>128</v>
      </c>
      <c r="E25" s="9">
        <f>IF(D25="","",D25/$C25)</f>
        <v>1</v>
      </c>
      <c r="F25" s="10">
        <v>25</v>
      </c>
      <c r="G25" s="9">
        <f>IF(F25="","",IF($D25=0,0,F25/$D25))</f>
        <v>0.1953125</v>
      </c>
      <c r="H25" s="10">
        <v>27</v>
      </c>
      <c r="I25" s="9">
        <f>IF(H25="","",IF($D25=0,0,H25/$D25))</f>
        <v>0.2109375</v>
      </c>
      <c r="J25" s="10">
        <v>28</v>
      </c>
      <c r="K25" s="9">
        <f>IF(J25="","",IF($D25=0,0,J25/$D25))</f>
        <v>0.21875</v>
      </c>
      <c r="L25" s="10">
        <v>27</v>
      </c>
      <c r="M25" s="9">
        <f>IF(L25="","",IF($D25=0,0,L25/$D25))</f>
        <v>0.2109375</v>
      </c>
      <c r="N25" s="10">
        <v>21</v>
      </c>
      <c r="O25" s="9">
        <f>IF(N25="","",IF($D25=0,0,N25/$D25))</f>
        <v>0.1640625</v>
      </c>
      <c r="P25" s="10">
        <v>33</v>
      </c>
      <c r="Q25" s="9">
        <f>IF(P25="","",IF($D25=0,0,P25/$D25))</f>
        <v>0.2578125</v>
      </c>
      <c r="R25" s="10">
        <v>33</v>
      </c>
      <c r="S25" s="9">
        <f>IF(R25="","",IF($D25=0,0,R25/$D25))</f>
        <v>0.2578125</v>
      </c>
      <c r="T25" s="10">
        <v>28</v>
      </c>
      <c r="U25" s="9">
        <f>IF(T25="","",IF($D25=0,0,T25/$D25))</f>
        <v>0.21875</v>
      </c>
      <c r="V25" s="10">
        <v>34</v>
      </c>
      <c r="W25" s="9">
        <f>IF(V25="","",IF($D25=0,0,V25/$D25))</f>
        <v>0.265625</v>
      </c>
      <c r="X25" s="10">
        <f>SUM(V25,T25,R25,P25)</f>
        <v>128</v>
      </c>
      <c r="Y25" s="9">
        <f>X25/$C25</f>
        <v>1</v>
      </c>
    </row>
    <row r="26" spans="1:25">
      <c r="A26" s="35"/>
      <c r="B26" s="11" t="s">
        <v>23</v>
      </c>
      <c r="C26" s="7">
        <v>97</v>
      </c>
      <c r="D26" s="10">
        <f>SUM(F26,H26,J26,L26,N26)</f>
        <v>97</v>
      </c>
      <c r="E26" s="9">
        <f>IF(D26="","",D26/$C26)</f>
        <v>1</v>
      </c>
      <c r="F26" s="10">
        <v>15</v>
      </c>
      <c r="G26" s="9">
        <f>IF(F26="","",IF($D26=0,0,F26/$D26))</f>
        <v>0.15463917525773</v>
      </c>
      <c r="H26" s="10">
        <v>26</v>
      </c>
      <c r="I26" s="9">
        <f>IF(H26="","",IF($D26=0,0,H26/$D26))</f>
        <v>0.2680412371134</v>
      </c>
      <c r="J26" s="10">
        <v>23</v>
      </c>
      <c r="K26" s="9">
        <f>IF(J26="","",IF($D26=0,0,J26/$D26))</f>
        <v>0.23711340206186</v>
      </c>
      <c r="L26" s="10">
        <v>14</v>
      </c>
      <c r="M26" s="9">
        <f>IF(L26="","",IF($D26=0,0,L26/$D26))</f>
        <v>0.14432989690722</v>
      </c>
      <c r="N26" s="10">
        <v>19</v>
      </c>
      <c r="O26" s="9">
        <f>IF(N26="","",IF($D26=0,0,N26/$D26))</f>
        <v>0.19587628865979</v>
      </c>
      <c r="P26" s="10">
        <v>22</v>
      </c>
      <c r="Q26" s="9">
        <f>IF(P26="","",IF($D26=0,0,P26/$D26))</f>
        <v>0.22680412371134</v>
      </c>
      <c r="R26" s="10">
        <v>25</v>
      </c>
      <c r="S26" s="9">
        <f>IF(R26="","",IF($D26=0,0,R26/$D26))</f>
        <v>0.25773195876289</v>
      </c>
      <c r="T26" s="10">
        <v>20</v>
      </c>
      <c r="U26" s="9">
        <f>IF(T26="","",IF($D26=0,0,T26/$D26))</f>
        <v>0.20618556701031</v>
      </c>
      <c r="V26" s="10">
        <v>30</v>
      </c>
      <c r="W26" s="9">
        <f>IF(V26="","",IF($D26=0,0,V26/$D26))</f>
        <v>0.30927835051546</v>
      </c>
      <c r="X26" s="10">
        <f>SUM(V26,T26,R26,P26)</f>
        <v>97</v>
      </c>
      <c r="Y26" s="9">
        <f>X26/$C26</f>
        <v>1</v>
      </c>
    </row>
    <row r="27" spans="1:25" customHeight="1" ht="15">
      <c r="A27" s="36"/>
      <c r="B27" s="16" t="s">
        <v>24</v>
      </c>
      <c r="C27" s="25">
        <f>SUM(C25:C26)</f>
        <v>225</v>
      </c>
      <c r="D27" s="14">
        <f>SUM(D25:D26)</f>
        <v>225</v>
      </c>
      <c r="E27" s="15">
        <f>IF(D27="","",D27/$C27)</f>
        <v>1</v>
      </c>
      <c r="F27" s="14">
        <f>SUM(F25:F26)</f>
        <v>40</v>
      </c>
      <c r="G27" s="15">
        <f>IF(F27="","",IF($D27=0,0,F27/$D27))</f>
        <v>0.17777777777778</v>
      </c>
      <c r="H27" s="14">
        <f>SUM(H25:H26)</f>
        <v>53</v>
      </c>
      <c r="I27" s="15">
        <f>IF(H27="","",IF($D27=0,0,H27/$D27))</f>
        <v>0.23555555555556</v>
      </c>
      <c r="J27" s="14">
        <f>SUM(J25:J26)</f>
        <v>51</v>
      </c>
      <c r="K27" s="15">
        <f>IF(J27="","",IF($D27=0,0,J27/$D27))</f>
        <v>0.22666666666667</v>
      </c>
      <c r="L27" s="14">
        <f>SUM(L25:L26)</f>
        <v>41</v>
      </c>
      <c r="M27" s="15">
        <f>IF(L27="","",IF($D27=0,0,L27/$D27))</f>
        <v>0.18222222222222</v>
      </c>
      <c r="N27" s="14">
        <f>SUM(N25:N26)</f>
        <v>40</v>
      </c>
      <c r="O27" s="15">
        <f>IF(N27="","",IF($D27=0,0,N27/$D27))</f>
        <v>0.17777777777778</v>
      </c>
      <c r="P27" s="14">
        <f>SUM(P25:P26)</f>
        <v>55</v>
      </c>
      <c r="Q27" s="15">
        <f>IF(P27="","",IF($D27=0,0,P27/$D27))</f>
        <v>0.24444444444444</v>
      </c>
      <c r="R27" s="14">
        <f>SUM(R25:R26)</f>
        <v>58</v>
      </c>
      <c r="S27" s="15">
        <f>IF(R27="","",IF($D27=0,0,R27/$D27))</f>
        <v>0.25777777777778</v>
      </c>
      <c r="T27" s="14">
        <f>SUM(T25:T26)</f>
        <v>48</v>
      </c>
      <c r="U27" s="15">
        <f>IF(T27="","",IF($D27=0,0,T27/$D27))</f>
        <v>0.21333333333333</v>
      </c>
      <c r="V27" s="14">
        <f>SUM(V25:V26)</f>
        <v>64</v>
      </c>
      <c r="W27" s="15">
        <f>IF(V27="","",IF($D27=0,0,V27/$D27))</f>
        <v>0.28444444444444</v>
      </c>
      <c r="X27" s="14">
        <f>SUM(X25:X26)</f>
        <v>225</v>
      </c>
      <c r="Y27" s="15">
        <f>X27/$C27</f>
        <v>1</v>
      </c>
    </row>
    <row r="28" spans="1:25">
      <c r="A28" s="31" t="s">
        <v>30</v>
      </c>
      <c r="B28" s="26" t="s">
        <v>22</v>
      </c>
      <c r="C28" s="27">
        <f>SUM(C25,C22,C19,C16,C13,C10,C11)</f>
        <v>758</v>
      </c>
      <c r="D28" s="27">
        <f>SUM(D25,D22,D19,D16,D13,D10,D11)</f>
        <v>758</v>
      </c>
      <c r="E28" s="17">
        <f>IF(D28="","",D28/$C28)</f>
        <v>1</v>
      </c>
      <c r="F28" s="27">
        <f>SUM(F25,F22,F19,F16,F13,F10,F11)</f>
        <v>145</v>
      </c>
      <c r="G28" s="17">
        <f>IF(F28="","",IF($D28=0,0,F28/$D28))</f>
        <v>0.19129287598945</v>
      </c>
      <c r="H28" s="27">
        <f>SUM(H25,H22,H19,H16,H13,H10,H11)</f>
        <v>154</v>
      </c>
      <c r="I28" s="17">
        <f>IF(H28="","",IF($D28=0,0,H28/$D28))</f>
        <v>0.20316622691293</v>
      </c>
      <c r="J28" s="27">
        <f>SUM(J25,J22,J19,J16,J13,J10,J11)</f>
        <v>151</v>
      </c>
      <c r="K28" s="17">
        <f>IF(J28="","",IF($D28=0,0,J28/$D28))</f>
        <v>0.19920844327177</v>
      </c>
      <c r="L28" s="27">
        <f>SUM(L25,L22,L19,L16,L13,L10,L11)</f>
        <v>159</v>
      </c>
      <c r="M28" s="17">
        <f>IF(L28="","",IF($D28=0,0,L28/$D28))</f>
        <v>0.20976253298153</v>
      </c>
      <c r="N28" s="27">
        <f>SUM(N25,N22,N19,N16,N13,N10,N11)</f>
        <v>149</v>
      </c>
      <c r="O28" s="17">
        <f>IF(N28="","",IF($D28=0,0,N28/$D28))</f>
        <v>0.19656992084433</v>
      </c>
      <c r="P28" s="27">
        <f>SUM(P25,P22,P19,P16,P13,P10,P11)</f>
        <v>192</v>
      </c>
      <c r="Q28" s="17">
        <f>IF(P28="","",IF($D28=0,0,P28/$D28))</f>
        <v>0.2532981530343</v>
      </c>
      <c r="R28" s="27">
        <f>SUM(R25,R22,R19,R16,R13,R10,R11)</f>
        <v>192</v>
      </c>
      <c r="S28" s="17">
        <f>IF(R28="","",IF($D28=0,0,R28/$D28))</f>
        <v>0.2532981530343</v>
      </c>
      <c r="T28" s="27">
        <f>SUM(T25,T22,T19,T16,T13,T10,T11)</f>
        <v>188</v>
      </c>
      <c r="U28" s="17">
        <f>IF(T28="","",IF($D28=0,0,T28/$D28))</f>
        <v>0.24802110817942</v>
      </c>
      <c r="V28" s="27">
        <f>SUM(V25,V22,V19,V16,V13,V10,V11)</f>
        <v>186</v>
      </c>
      <c r="W28" s="17">
        <f>IF(V28="","",IF($D28=0,0,V28/$D28))</f>
        <v>0.24538258575198</v>
      </c>
      <c r="X28" s="27">
        <f>SUM(X25,X22,X19,X16,X13,X10,X11)</f>
        <v>758</v>
      </c>
      <c r="Y28" s="17">
        <f>X28/$C28</f>
        <v>1</v>
      </c>
    </row>
    <row r="29" spans="1:25">
      <c r="A29" s="32"/>
      <c r="B29" s="28" t="s">
        <v>23</v>
      </c>
      <c r="C29" s="29">
        <f>SUM(C26,C23,C20,C17,C14,C11,C12)</f>
        <v>846</v>
      </c>
      <c r="D29" s="29">
        <f>SUM(D26,D23,D20,D17,D14,D11,D12)</f>
        <v>846</v>
      </c>
      <c r="E29" s="9">
        <f>IF(D29="","",D29/$C29)</f>
        <v>1</v>
      </c>
      <c r="F29" s="29">
        <f>SUM(F26,F23,F20,F17,F14,F11,F12)</f>
        <v>149</v>
      </c>
      <c r="G29" s="9">
        <f>IF(F29="","",IF($D29=0,0,F29/$D29))</f>
        <v>0.17612293144208</v>
      </c>
      <c r="H29" s="29">
        <f>SUM(H26,H23,H20,H17,H14,H11,H12)</f>
        <v>178</v>
      </c>
      <c r="I29" s="9">
        <f>IF(H29="","",IF($D29=0,0,H29/$D29))</f>
        <v>0.21040189125296</v>
      </c>
      <c r="J29" s="29">
        <f>SUM(J26,J23,J20,J17,J14,J11,J12)</f>
        <v>204</v>
      </c>
      <c r="K29" s="9">
        <f>IF(J29="","",IF($D29=0,0,J29/$D29))</f>
        <v>0.24113475177305</v>
      </c>
      <c r="L29" s="29">
        <f>SUM(L26,L23,L20,L17,L14,L11,L12)</f>
        <v>150</v>
      </c>
      <c r="M29" s="9">
        <f>IF(L29="","",IF($D29=0,0,L29/$D29))</f>
        <v>0.17730496453901</v>
      </c>
      <c r="N29" s="29">
        <f>SUM(N26,N23,N20,N17,N14,N11,N12)</f>
        <v>165</v>
      </c>
      <c r="O29" s="9">
        <f>IF(N29="","",IF($D29=0,0,N29/$D29))</f>
        <v>0.19503546099291</v>
      </c>
      <c r="P29" s="29">
        <f>SUM(P26,P23,P20,P17,P14,P11,P12)</f>
        <v>198</v>
      </c>
      <c r="Q29" s="9">
        <f>IF(P29="","",IF($D29=0,0,P29/$D29))</f>
        <v>0.23404255319149</v>
      </c>
      <c r="R29" s="29">
        <f>SUM(R26,R23,R20,R17,R14,R11,R12)</f>
        <v>233</v>
      </c>
      <c r="S29" s="9">
        <f>IF(R29="","",IF($D29=0,0,R29/$D29))</f>
        <v>0.27541371158392</v>
      </c>
      <c r="T29" s="29">
        <f>SUM(T26,T23,T20,T17,T14,T11,T12)</f>
        <v>210</v>
      </c>
      <c r="U29" s="9">
        <f>IF(T29="","",IF($D29=0,0,T29/$D29))</f>
        <v>0.24822695035461</v>
      </c>
      <c r="V29" s="29">
        <f>SUM(V26,V23,V20,V17,V14,V11,V12)</f>
        <v>205</v>
      </c>
      <c r="W29" s="9">
        <f>IF(V29="","",IF($D29=0,0,V29/$D29))</f>
        <v>0.24231678486998</v>
      </c>
      <c r="X29" s="29">
        <f>SUM(X26,X23,X20,X17,X14,X11,X12)</f>
        <v>846</v>
      </c>
      <c r="Y29" s="9">
        <f>X29/$C29</f>
        <v>1</v>
      </c>
    </row>
    <row r="30" spans="1:25" customHeight="1" ht="15">
      <c r="A30" s="33"/>
      <c r="B30" s="30" t="s">
        <v>24</v>
      </c>
      <c r="C30" s="18">
        <f>SUM(C28:C29)</f>
        <v>1604</v>
      </c>
      <c r="D30" s="18">
        <f>SUM(D28:D29)</f>
        <v>1604</v>
      </c>
      <c r="E30" s="19">
        <f>IF(D30="","",D30/$C30)</f>
        <v>1</v>
      </c>
      <c r="F30" s="18">
        <f>SUM(F28:F29)</f>
        <v>294</v>
      </c>
      <c r="G30" s="19">
        <f>IF(F30="","",IF($D30=0,0,F30/$D30))</f>
        <v>0.18329177057357</v>
      </c>
      <c r="H30" s="18">
        <f>SUM(H28:H29)</f>
        <v>332</v>
      </c>
      <c r="I30" s="19">
        <f>IF(H30="","",IF($D30=0,0,H30/$D30))</f>
        <v>0.2069825436409</v>
      </c>
      <c r="J30" s="18">
        <f>SUM(J28:J29)</f>
        <v>355</v>
      </c>
      <c r="K30" s="19">
        <f>IF(J30="","",IF($D30=0,0,J30/$D30))</f>
        <v>0.2213216957606</v>
      </c>
      <c r="L30" s="18">
        <f>SUM(L28:L29)</f>
        <v>309</v>
      </c>
      <c r="M30" s="19">
        <f>IF(L30="","",IF($D30=0,0,L30/$D30))</f>
        <v>0.1926433915212</v>
      </c>
      <c r="N30" s="18">
        <f>SUM(N28:N29)</f>
        <v>314</v>
      </c>
      <c r="O30" s="19">
        <f>IF(N30="","",IF($D30=0,0,N30/$D30))</f>
        <v>0.19576059850374</v>
      </c>
      <c r="P30" s="18">
        <f>SUM(P28:P29)</f>
        <v>390</v>
      </c>
      <c r="Q30" s="19">
        <f>IF(P30="","",IF($D30=0,0,P30/$D30))</f>
        <v>0.2431421446384</v>
      </c>
      <c r="R30" s="18">
        <f>SUM(R28:R29)</f>
        <v>425</v>
      </c>
      <c r="S30" s="19">
        <f>IF(R30="","",IF($D30=0,0,R30/$D30))</f>
        <v>0.26496259351621</v>
      </c>
      <c r="T30" s="18">
        <f>SUM(T28:T29)</f>
        <v>398</v>
      </c>
      <c r="U30" s="19">
        <f>IF(T30="","",IF($D30=0,0,T30/$D30))</f>
        <v>0.24812967581047</v>
      </c>
      <c r="V30" s="18">
        <f>SUM(V28:V29)</f>
        <v>391</v>
      </c>
      <c r="W30" s="19">
        <f>IF(V30="","",IF($D30=0,0,V30/$D30))</f>
        <v>0.24376558603491</v>
      </c>
      <c r="X30" s="18">
        <f>SUM(X28:X29)</f>
        <v>1604</v>
      </c>
      <c r="Y30" s="19">
        <f>X30/$C30</f>
        <v>1</v>
      </c>
    </row>
    <row r="31" spans="1:25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</row>
    <row r="32" spans="1:25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</row>
    <row r="33" spans="1:25" customHeight="1" ht="12" s="23" customFormat="1">
      <c r="A33" s="22"/>
      <c r="B33" s="70" t="s">
        <v>31</v>
      </c>
      <c r="C33" s="70"/>
      <c r="D33" s="70"/>
      <c r="E33" s="7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70" t="s">
        <v>32</v>
      </c>
      <c r="Q33" s="70"/>
      <c r="R33" s="70"/>
      <c r="S33" s="70"/>
      <c r="T33" s="22"/>
      <c r="U33" s="22"/>
      <c r="V33" s="22"/>
      <c r="W33" s="22"/>
      <c r="X33" s="22"/>
      <c r="Y33" s="22"/>
    </row>
    <row r="34" spans="1:25" customHeight="1" ht="12" s="23" customFormat="1">
      <c r="A34" s="22"/>
      <c r="B34" s="71"/>
      <c r="C34" s="71"/>
      <c r="D34" s="71"/>
      <c r="E34" s="71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71"/>
      <c r="Q34" s="71"/>
      <c r="R34" s="71"/>
      <c r="S34" s="71"/>
      <c r="T34" s="22"/>
      <c r="U34" s="22"/>
      <c r="V34" s="22"/>
      <c r="W34" s="22"/>
      <c r="X34" s="22"/>
      <c r="Y34" s="22"/>
    </row>
    <row r="35" spans="1:25" customHeight="1" ht="12" s="23" customFormat="1">
      <c r="A35" s="22"/>
      <c r="B35" s="72" t="s">
        <v>33</v>
      </c>
      <c r="C35" s="72"/>
      <c r="D35" s="72"/>
      <c r="E35" s="7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72" t="s">
        <v>34</v>
      </c>
      <c r="Q35" s="72"/>
      <c r="R35" s="72"/>
      <c r="S35" s="72"/>
      <c r="T35" s="22"/>
      <c r="U35" s="22"/>
      <c r="V35" s="22"/>
      <c r="W35" s="22"/>
      <c r="X35" s="22"/>
      <c r="Y35" s="22"/>
    </row>
    <row r="36" spans="1:25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</row>
    <row r="37" spans="1:25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</row>
    <row r="38" spans="1:25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</row>
    <row r="39" spans="1:25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</row>
    <row r="40" spans="1:25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</row>
    <row r="41" spans="1:25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</row>
    <row r="42" spans="1:25">
      <c r="A42" s="21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</row>
    <row r="43" spans="1:25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</row>
    <row r="44" spans="1:25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</row>
    <row r="45" spans="1:2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</row>
    <row r="46" spans="1:25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</row>
    <row r="47" spans="1:25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</row>
    <row r="48" spans="1:25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</row>
    <row r="49" spans="1:25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</row>
    <row r="50" spans="1:25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</row>
    <row r="51" spans="1:25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</row>
    <row r="52" spans="1:25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</row>
    <row r="53" spans="1:25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</row>
    <row r="54" spans="1:25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</row>
    <row r="55" spans="1:2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</row>
    <row r="56" spans="1:25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</row>
    <row r="57" spans="1:25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</row>
    <row r="58" spans="1:25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</row>
    <row r="59" spans="1:25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</row>
    <row r="60" spans="1:25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</row>
    <row r="61" spans="1:25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</row>
    <row r="62" spans="1:25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</row>
    <row r="63" spans="1:25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</row>
    <row r="64" spans="1:25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</row>
    <row r="65" spans="1:2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</row>
    <row r="66" spans="1:25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</row>
    <row r="67" spans="1:25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</row>
    <row r="68" spans="1:25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</row>
    <row r="69" spans="1:25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</row>
    <row r="70" spans="1:25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</row>
    <row r="71" spans="1:25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</row>
    <row r="72" spans="1:25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</row>
    <row r="73" spans="1:25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</row>
    <row r="74" spans="1:25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</row>
    <row r="75" spans="1:2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</row>
    <row r="76" spans="1:2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</row>
    <row r="77" spans="1:2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</row>
    <row r="78" spans="1:25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</row>
    <row r="79" spans="1:25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</row>
    <row r="80" spans="1:25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</row>
    <row r="81" spans="1:25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</row>
    <row r="82" spans="1:25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</row>
    <row r="83" spans="1:25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</row>
    <row r="84" spans="1:25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</row>
    <row r="85" spans="1:2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</row>
    <row r="86" spans="1:25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</row>
    <row r="87" spans="1:25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</row>
    <row r="88" spans="1:25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</row>
    <row r="89" spans="1:25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</row>
    <row r="90" spans="1:25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</row>
    <row r="91" spans="1:25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</row>
    <row r="92" spans="1:25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</row>
    <row r="93" spans="1:25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</row>
    <row r="94" spans="1:25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</row>
    <row r="95" spans="1:2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</row>
    <row r="96" spans="1:25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</row>
    <row r="97" spans="1:25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</row>
    <row r="98" spans="1:25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</row>
    <row r="99" spans="1:25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</row>
    <row r="100" spans="1:25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</row>
    <row r="101" spans="1:25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</row>
    <row r="102" spans="1:25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</row>
    <row r="103" spans="1:25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</row>
    <row r="104" spans="1:25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</row>
    <row r="105" spans="1:2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</row>
    <row r="106" spans="1:25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</row>
    <row r="107" spans="1:25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</row>
    <row r="108" spans="1:25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</row>
    <row r="109" spans="1:25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</row>
    <row r="110" spans="1:25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</row>
    <row r="111" spans="1:25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</row>
    <row r="112" spans="1:25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</row>
    <row r="113" spans="1:25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</row>
    <row r="114" spans="1:25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</row>
    <row r="115" spans="1:2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</row>
    <row r="116" spans="1:25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</row>
    <row r="117" spans="1:25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</row>
    <row r="118" spans="1:25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</row>
    <row r="119" spans="1:25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</row>
    <row r="120" spans="1:25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</row>
    <row r="121" spans="1:25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</row>
    <row r="122" spans="1:25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</row>
    <row r="123" spans="1:25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</row>
    <row r="124" spans="1:25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</row>
    <row r="125" spans="1: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</row>
    <row r="126" spans="1:25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</row>
    <row r="127" spans="1:25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</row>
    <row r="128" spans="1:25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</row>
    <row r="129" spans="1:25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</row>
    <row r="130" spans="1:25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</row>
    <row r="131" spans="1:25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</row>
    <row r="132" spans="1:25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</row>
    <row r="133" spans="1:25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</row>
    <row r="134" spans="1:25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</row>
    <row r="135" spans="1:2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</row>
    <row r="136" spans="1:25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</row>
    <row r="137" spans="1:25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</row>
    <row r="138" spans="1:25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</row>
    <row r="139" spans="1:25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</row>
    <row r="140" spans="1:25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</row>
    <row r="141" spans="1:25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</row>
    <row r="142" spans="1:25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</row>
    <row r="143" spans="1:25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</row>
    <row r="144" spans="1:25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</row>
    <row r="145" spans="1:2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</row>
    <row r="146" spans="1:25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</row>
    <row r="147" spans="1:25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</row>
    <row r="148" spans="1:25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</row>
    <row r="149" spans="1:25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</row>
    <row r="150" spans="1:25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</row>
    <row r="151" spans="1:25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</row>
    <row r="152" spans="1:25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</row>
    <row r="153" spans="1:25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</row>
    <row r="154" spans="1:25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</row>
    <row r="155" spans="1:2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</row>
    <row r="156" spans="1:25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</row>
    <row r="157" spans="1:25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</row>
    <row r="158" spans="1:25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</row>
    <row r="159" spans="1:25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</row>
    <row r="160" spans="1:25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</row>
    <row r="161" spans="1:25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</row>
    <row r="162" spans="1:25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</row>
    <row r="163" spans="1:25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</row>
    <row r="164" spans="1:25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</row>
    <row r="165" spans="1:2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</row>
    <row r="166" spans="1:25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</row>
    <row r="167" spans="1:25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</row>
    <row r="168" spans="1:25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</row>
    <row r="169" spans="1:25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</row>
    <row r="170" spans="1:25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</row>
    <row r="171" spans="1:25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</row>
    <row r="172" spans="1:25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</row>
    <row r="173" spans="1:25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</row>
    <row r="174" spans="1:25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</row>
    <row r="175" spans="1:2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</row>
    <row r="176" spans="1:25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</row>
    <row r="177" spans="1:25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</row>
    <row r="178" spans="1:25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</row>
    <row r="179" spans="1:25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</row>
    <row r="180" spans="1:25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</row>
    <row r="181" spans="1:25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</row>
    <row r="182" spans="1:25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</row>
    <row r="183" spans="1:25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</row>
    <row r="184" spans="1:25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</row>
    <row r="185" spans="1:2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</row>
    <row r="186" spans="1:25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</row>
    <row r="187" spans="1:25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</row>
    <row r="188" spans="1:25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</row>
    <row r="189" spans="1:25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</row>
    <row r="190" spans="1:25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</row>
    <row r="191" spans="1:25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</row>
    <row r="192" spans="1:25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</row>
    <row r="193" spans="1:25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</row>
    <row r="194" spans="1:25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</row>
    <row r="195" spans="1:2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</row>
    <row r="196" spans="1:25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</row>
    <row r="197" spans="1:25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</row>
    <row r="198" spans="1:25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</row>
    <row r="199" spans="1:25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</row>
    <row r="200" spans="1:25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</row>
    <row r="201" spans="1:25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</row>
    <row r="202" spans="1:25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</row>
    <row r="203" spans="1:25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</row>
    <row r="204" spans="1:25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</row>
    <row r="205" spans="1:2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</row>
    <row r="206" spans="1:25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</row>
    <row r="207" spans="1:25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</row>
    <row r="208" spans="1:25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</row>
    <row r="209" spans="1:25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</row>
    <row r="210" spans="1:25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</row>
    <row r="211" spans="1:25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</row>
    <row r="212" spans="1:25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</row>
    <row r="213" spans="1:25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</row>
    <row r="214" spans="1:25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</row>
    <row r="215" spans="1:2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</row>
    <row r="216" spans="1:25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</row>
    <row r="217" spans="1:25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</row>
    <row r="218" spans="1:25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</row>
    <row r="219" spans="1:25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</row>
    <row r="220" spans="1:25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</row>
    <row r="221" spans="1:25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</row>
    <row r="222" spans="1:25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</row>
    <row r="223" spans="1:25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</row>
    <row r="224" spans="1:25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</row>
    <row r="225" spans="1: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</row>
    <row r="226" spans="1:25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</row>
    <row r="227" spans="1:25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</row>
    <row r="228" spans="1:25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</row>
    <row r="229" spans="1:25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</row>
    <row r="230" spans="1:25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</row>
    <row r="231" spans="1:25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</row>
    <row r="232" spans="1:25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</row>
    <row r="233" spans="1:25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</row>
    <row r="234" spans="1:25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</row>
    <row r="235" spans="1:2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</row>
    <row r="236" spans="1:25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</row>
    <row r="237" spans="1:25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</row>
    <row r="238" spans="1:25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</row>
    <row r="239" spans="1:25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</row>
    <row r="240" spans="1:25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</row>
    <row r="241" spans="1:25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</row>
    <row r="242" spans="1:25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</row>
    <row r="243" spans="1:25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</row>
    <row r="244" spans="1:25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</row>
    <row r="245" spans="1:2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</row>
    <row r="246" spans="1:25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</row>
    <row r="247" spans="1:25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</row>
    <row r="248" spans="1:25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</row>
    <row r="249" spans="1:25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</row>
    <row r="250" spans="1:25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</row>
    <row r="251" spans="1:25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</row>
    <row r="252" spans="1:25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</row>
    <row r="253" spans="1:25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</row>
    <row r="254" spans="1:25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</row>
    <row r="255" spans="1:2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</row>
    <row r="256" spans="1:25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</row>
    <row r="257" spans="1:25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</row>
    <row r="258" spans="1:25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</row>
    <row r="259" spans="1:25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</row>
    <row r="260" spans="1:25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</row>
    <row r="261" spans="1:25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</row>
    <row r="262" spans="1:25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</row>
    <row r="263" spans="1:25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</row>
    <row r="264" spans="1:25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</row>
    <row r="265" spans="1:2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</row>
    <row r="266" spans="1:25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</row>
    <row r="267" spans="1:25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</row>
    <row r="268" spans="1:25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</row>
    <row r="269" spans="1:25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</row>
    <row r="270" spans="1:25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</row>
    <row r="271" spans="1:25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</row>
    <row r="272" spans="1:25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</row>
    <row r="273" spans="1:25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</row>
    <row r="274" spans="1:25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</row>
    <row r="275" spans="1:2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</row>
    <row r="276" spans="1:25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</row>
    <row r="277" spans="1:25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</row>
    <row r="278" spans="1:25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</row>
    <row r="279" spans="1:25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</row>
    <row r="280" spans="1:25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</row>
    <row r="281" spans="1:25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</row>
    <row r="282" spans="1:25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</row>
    <row r="283" spans="1:25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</row>
    <row r="284" spans="1:25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</row>
    <row r="285" spans="1:2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</row>
    <row r="286" spans="1:25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</row>
    <row r="287" spans="1:25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</row>
    <row r="288" spans="1:25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</row>
    <row r="289" spans="1:25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</row>
    <row r="290" spans="1:25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</row>
    <row r="291" spans="1:25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</row>
    <row r="292" spans="1:25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</row>
    <row r="293" spans="1:25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</row>
    <row r="294" spans="1:25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</row>
    <row r="295" spans="1:2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</row>
    <row r="296" spans="1:25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</row>
    <row r="297" spans="1:25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</row>
    <row r="298" spans="1:25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</row>
    <row r="299" spans="1:25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</row>
    <row r="300" spans="1:25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</row>
    <row r="301" spans="1:25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</row>
    <row r="302" spans="1:25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</row>
    <row r="303" spans="1:25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</row>
    <row r="304" spans="1:25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</row>
    <row r="305" spans="1:2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</row>
    <row r="306" spans="1:25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</row>
    <row r="307" spans="1:25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</row>
    <row r="308" spans="1:25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</row>
    <row r="309" spans="1:25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</row>
    <row r="310" spans="1:25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</row>
    <row r="311" spans="1:25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</row>
    <row r="312" spans="1:25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</row>
    <row r="313" spans="1:25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</row>
    <row r="314" spans="1:25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</row>
    <row r="315" spans="1:2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</row>
    <row r="316" spans="1:25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</row>
    <row r="317" spans="1:25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</row>
    <row r="318" spans="1:25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</row>
    <row r="319" spans="1:25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</row>
    <row r="320" spans="1:25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</row>
    <row r="321" spans="1:25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</row>
    <row r="322" spans="1:25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</row>
    <row r="323" spans="1:25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</row>
    <row r="324" spans="1:25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</row>
    <row r="325" spans="1: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</row>
    <row r="326" spans="1:25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</row>
    <row r="327" spans="1:25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</row>
    <row r="328" spans="1:25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</row>
    <row r="329" spans="1:25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</row>
    <row r="330" spans="1:25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</row>
    <row r="331" spans="1:25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</row>
    <row r="332" spans="1:25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</row>
    <row r="333" spans="1:25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</row>
    <row r="334" spans="1:25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</row>
    <row r="335" spans="1:2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</row>
    <row r="336" spans="1:25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</row>
    <row r="337" spans="1:25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</row>
    <row r="338" spans="1:25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</row>
    <row r="339" spans="1:25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</row>
    <row r="340" spans="1:25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</row>
    <row r="341" spans="1:25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</row>
    <row r="342" spans="1:25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</row>
    <row r="343" spans="1:25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</row>
    <row r="344" spans="1:25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</row>
    <row r="345" spans="1:2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</row>
    <row r="346" spans="1:25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</row>
    <row r="347" spans="1:25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</row>
    <row r="348" spans="1:25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</row>
    <row r="349" spans="1:25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</row>
    <row r="350" spans="1:25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</row>
    <row r="351" spans="1:25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</row>
    <row r="352" spans="1:25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</row>
    <row r="353" spans="1:25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</row>
    <row r="354" spans="1:25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</row>
    <row r="355" spans="1:2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</row>
    <row r="356" spans="1:25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</row>
    <row r="357" spans="1:25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</row>
    <row r="358" spans="1:25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</row>
    <row r="359" spans="1:25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</row>
    <row r="360" spans="1:25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</row>
    <row r="361" spans="1:25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</row>
    <row r="362" spans="1:25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</row>
    <row r="363" spans="1:25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</row>
    <row r="364" spans="1:25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</row>
    <row r="365" spans="1:2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</row>
    <row r="366" spans="1:25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</row>
    <row r="367" spans="1:25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</row>
    <row r="368" spans="1:25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</row>
    <row r="369" spans="1:25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</row>
    <row r="370" spans="1:25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</row>
    <row r="371" spans="1:25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</row>
    <row r="372" spans="1:25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</row>
    <row r="373" spans="1:25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</row>
    <row r="374" spans="1:25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</row>
    <row r="375" spans="1:2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</row>
    <row r="376" spans="1:25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</row>
    <row r="377" spans="1:25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</row>
    <row r="378" spans="1:25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</row>
    <row r="379" spans="1:25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</row>
    <row r="380" spans="1:25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</row>
    <row r="381" spans="1:25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</row>
    <row r="382" spans="1:25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</row>
    <row r="383" spans="1:25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</row>
    <row r="384" spans="1:25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</row>
    <row r="385" spans="1:2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</row>
    <row r="386" spans="1:25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</row>
    <row r="387" spans="1:25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</row>
    <row r="388" spans="1:25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</row>
    <row r="389" spans="1:25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</row>
    <row r="390" spans="1:25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</row>
    <row r="391" spans="1:25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</row>
    <row r="392" spans="1:25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</row>
    <row r="393" spans="1:25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</row>
    <row r="394" spans="1:25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</row>
    <row r="395" spans="1:2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</row>
    <row r="396" spans="1:25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</row>
    <row r="397" spans="1:25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</row>
    <row r="398" spans="1:25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</row>
    <row r="399" spans="1:25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</row>
    <row r="400" spans="1:25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</row>
    <row r="401" spans="1:25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</row>
    <row r="402" spans="1:25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</row>
    <row r="403" spans="1:25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</row>
    <row r="404" spans="1:25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</row>
    <row r="405" spans="1:2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</row>
    <row r="406" spans="1:25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</row>
    <row r="407" spans="1:25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</row>
    <row r="408" spans="1:25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</row>
    <row r="409" spans="1:25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</row>
    <row r="410" spans="1:25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</row>
    <row r="411" spans="1:25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</row>
    <row r="412" spans="1:25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</row>
    <row r="413" spans="1:25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</row>
    <row r="414" spans="1:25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</row>
    <row r="415" spans="1:2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</row>
    <row r="416" spans="1:25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</row>
    <row r="417" spans="1:25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</row>
    <row r="418" spans="1:25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</row>
    <row r="419" spans="1:25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</row>
    <row r="420" spans="1:25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</row>
    <row r="421" spans="1:25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</row>
    <row r="422" spans="1:25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</row>
    <row r="423" spans="1:25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</row>
    <row r="424" spans="1:25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</row>
    <row r="425" spans="1: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</row>
    <row r="426" spans="1:25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</row>
    <row r="427" spans="1:25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</row>
    <row r="428" spans="1:25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</row>
    <row r="429" spans="1:25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</row>
    <row r="430" spans="1:25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</row>
    <row r="431" spans="1:25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</row>
    <row r="432" spans="1:25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</row>
    <row r="433" spans="1:25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</row>
    <row r="434" spans="1:25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</row>
    <row r="435" spans="1:2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</row>
    <row r="436" spans="1:25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</row>
    <row r="437" spans="1:25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</row>
    <row r="438" spans="1:25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</row>
    <row r="439" spans="1:25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</row>
    <row r="440" spans="1:25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</row>
    <row r="441" spans="1:25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</row>
    <row r="442" spans="1:25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</row>
    <row r="443" spans="1:25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</row>
    <row r="444" spans="1:25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</row>
    <row r="445" spans="1:2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</row>
    <row r="446" spans="1:25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</row>
    <row r="447" spans="1:25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</row>
    <row r="448" spans="1:25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</row>
    <row r="449" spans="1:25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</row>
    <row r="450" spans="1:25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</row>
    <row r="451" spans="1:25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</row>
    <row r="452" spans="1:25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</row>
    <row r="453" spans="1:25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</row>
    <row r="454" spans="1:25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</row>
    <row r="455" spans="1:2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</row>
    <row r="456" spans="1:25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</row>
    <row r="457" spans="1:25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</row>
    <row r="458" spans="1:25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</row>
    <row r="459" spans="1:25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</row>
    <row r="460" spans="1:25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</row>
    <row r="461" spans="1:25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</row>
    <row r="462" spans="1:25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</row>
    <row r="463" spans="1:25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</row>
    <row r="464" spans="1:25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</row>
    <row r="465" spans="1:2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</row>
    <row r="466" spans="1:25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</row>
    <row r="467" spans="1:25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</row>
    <row r="468" spans="1:25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</row>
    <row r="469" spans="1:25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</row>
    <row r="470" spans="1:25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</row>
    <row r="471" spans="1:25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</row>
    <row r="472" spans="1:25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</row>
    <row r="473" spans="1:25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</row>
    <row r="474" spans="1:25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</row>
    <row r="475" spans="1:2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</row>
    <row r="476" spans="1:25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</row>
    <row r="477" spans="1:25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</row>
    <row r="478" spans="1:25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</row>
    <row r="479" spans="1:25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</row>
    <row r="480" spans="1:25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</row>
    <row r="481" spans="1:25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</row>
    <row r="482" spans="1:25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</row>
    <row r="483" spans="1:25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</row>
    <row r="484" spans="1:25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</row>
    <row r="485" spans="1:2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</row>
    <row r="486" spans="1:25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</row>
    <row r="487" spans="1:25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</row>
    <row r="488" spans="1:25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</row>
    <row r="489" spans="1:25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</row>
    <row r="490" spans="1:25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</row>
    <row r="491" spans="1:25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</row>
    <row r="492" spans="1:25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</row>
    <row r="493" spans="1:25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</row>
    <row r="494" spans="1:25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</row>
    <row r="495" spans="1:2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</row>
    <row r="496" spans="1:25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</row>
    <row r="497" spans="1:25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</row>
    <row r="498" spans="1:25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</row>
    <row r="499" spans="1:25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</row>
    <row r="500" spans="1:25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</row>
    <row r="501" spans="1:25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</row>
    <row r="502" spans="1:25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</row>
    <row r="503" spans="1:25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</row>
    <row r="504" spans="1:25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</row>
    <row r="505" spans="1:2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</row>
    <row r="506" spans="1:25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</row>
    <row r="507" spans="1:25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</row>
    <row r="508" spans="1:25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</row>
    <row r="509" spans="1:25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</row>
    <row r="510" spans="1:25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</row>
    <row r="511" spans="1:25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</row>
    <row r="512" spans="1:25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</row>
    <row r="513" spans="1:25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</row>
    <row r="514" spans="1:25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</row>
    <row r="515" spans="1:2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</row>
    <row r="516" spans="1:25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</row>
    <row r="517" spans="1:25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</row>
    <row r="518" spans="1:25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</row>
    <row r="519" spans="1:25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</row>
    <row r="520" spans="1:25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</row>
    <row r="521" spans="1:25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</row>
    <row r="522" spans="1:25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</row>
    <row r="523" spans="1:25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</row>
    <row r="524" spans="1:25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</row>
    <row r="525" spans="1: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</row>
    <row r="526" spans="1:25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</row>
    <row r="527" spans="1:25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</row>
    <row r="528" spans="1:25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</row>
    <row r="529" spans="1:25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</row>
    <row r="530" spans="1:25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</row>
    <row r="531" spans="1:25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</row>
    <row r="532" spans="1:25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</row>
    <row r="533" spans="1:25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</row>
    <row r="534" spans="1:25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</row>
    <row r="535" spans="1:2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</row>
    <row r="536" spans="1:25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</row>
    <row r="537" spans="1:25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</row>
    <row r="538" spans="1:25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</row>
    <row r="539" spans="1:25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</row>
    <row r="540" spans="1:25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</row>
    <row r="541" spans="1:25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</row>
    <row r="542" spans="1:25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</row>
    <row r="543" spans="1:25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</row>
    <row r="544" spans="1:25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</row>
    <row r="545" spans="1:2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</row>
    <row r="546" spans="1:25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</row>
    <row r="547" spans="1:25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</row>
    <row r="548" spans="1:25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</row>
    <row r="549" spans="1:25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</row>
    <row r="550" spans="1:25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</row>
    <row r="551" spans="1:25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</row>
    <row r="552" spans="1:25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</row>
    <row r="553" spans="1:25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</row>
    <row r="554" spans="1:25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</row>
    <row r="555" spans="1:2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</row>
    <row r="556" spans="1:25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</row>
    <row r="557" spans="1:25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</row>
    <row r="558" spans="1:25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</row>
    <row r="559" spans="1:25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</row>
    <row r="560" spans="1:25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</row>
    <row r="561" spans="1:25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</row>
    <row r="562" spans="1:25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</row>
    <row r="563" spans="1:25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</row>
    <row r="564" spans="1:25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</row>
    <row r="565" spans="1:2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</row>
    <row r="566" spans="1:25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</row>
    <row r="567" spans="1:25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</row>
    <row r="568" spans="1:25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</row>
    <row r="569" spans="1:25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</row>
    <row r="570" spans="1:25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</row>
    <row r="571" spans="1:25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</row>
    <row r="572" spans="1:25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</row>
    <row r="573" spans="1:25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</row>
    <row r="574" spans="1:25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</row>
    <row r="575" spans="1:2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</row>
    <row r="576" spans="1:25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</row>
    <row r="577" spans="1:25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</row>
    <row r="578" spans="1:25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</row>
    <row r="579" spans="1:25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</row>
    <row r="580" spans="1:25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</row>
    <row r="581" spans="1:25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</row>
    <row r="582" spans="1:25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</row>
    <row r="583" spans="1:25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</row>
    <row r="584" spans="1:25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</row>
    <row r="585" spans="1:2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</row>
    <row r="586" spans="1:25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</row>
    <row r="587" spans="1:25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</row>
    <row r="588" spans="1:25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</row>
    <row r="589" spans="1:25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</row>
    <row r="590" spans="1:25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</row>
    <row r="591" spans="1:25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</row>
    <row r="592" spans="1:25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</row>
    <row r="593" spans="1:25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</row>
    <row r="594" spans="1:25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</row>
    <row r="595" spans="1:2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</row>
    <row r="596" spans="1:25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</row>
    <row r="597" spans="1:25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</row>
    <row r="598" spans="1:25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</row>
    <row r="599" spans="1:25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</row>
    <row r="600" spans="1:25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</row>
    <row r="601" spans="1:25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</row>
    <row r="602" spans="1:25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</row>
    <row r="603" spans="1:25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</row>
    <row r="604" spans="1:25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</row>
    <row r="605" spans="1:2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</row>
    <row r="606" spans="1:25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</row>
    <row r="607" spans="1:25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</row>
    <row r="608" spans="1:25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</row>
    <row r="609" spans="1:25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</row>
    <row r="610" spans="1:25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</row>
    <row r="611" spans="1:25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</row>
    <row r="612" spans="1:25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</row>
    <row r="613" spans="1:25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</row>
    <row r="614" spans="1:25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</row>
    <row r="615" spans="1:2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</row>
    <row r="616" spans="1:25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</row>
    <row r="617" spans="1:25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</row>
    <row r="618" spans="1:25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</row>
    <row r="619" spans="1:25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</row>
    <row r="620" spans="1:25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</row>
    <row r="621" spans="1:25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</row>
    <row r="622" spans="1:25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</row>
    <row r="623" spans="1:25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</row>
    <row r="624" spans="1:25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</row>
    <row r="625" spans="1: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</row>
    <row r="626" spans="1:25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</row>
    <row r="627" spans="1:25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</row>
    <row r="628" spans="1:25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</row>
    <row r="629" spans="1:25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</row>
    <row r="630" spans="1:25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</row>
    <row r="631" spans="1:25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</row>
    <row r="632" spans="1:25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</row>
    <row r="633" spans="1:25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</row>
    <row r="634" spans="1:25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</row>
    <row r="635" spans="1:2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</row>
    <row r="636" spans="1:25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</row>
    <row r="637" spans="1:25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</row>
    <row r="638" spans="1:25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</row>
    <row r="639" spans="1:25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</row>
    <row r="640" spans="1:25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</row>
    <row r="641" spans="1:25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</row>
    <row r="642" spans="1:25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</row>
    <row r="643" spans="1:25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</row>
    <row r="644" spans="1:25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</row>
    <row r="645" spans="1:2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</row>
    <row r="646" spans="1:25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</row>
    <row r="647" spans="1:25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</row>
    <row r="648" spans="1:25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</row>
    <row r="649" spans="1:25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</row>
    <row r="650" spans="1:25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</row>
    <row r="651" spans="1:25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</row>
    <row r="652" spans="1:25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</row>
    <row r="653" spans="1:25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</row>
    <row r="654" spans="1:25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</row>
    <row r="655" spans="1:2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</row>
    <row r="656" spans="1:25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</row>
    <row r="657" spans="1:25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</row>
    <row r="658" spans="1:25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</row>
    <row r="659" spans="1:25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</row>
    <row r="660" spans="1:25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</row>
    <row r="661" spans="1:25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</row>
    <row r="662" spans="1:25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</row>
    <row r="663" spans="1:25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</row>
    <row r="664" spans="1:25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</row>
    <row r="665" spans="1:2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</row>
    <row r="666" spans="1:25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</row>
    <row r="667" spans="1:25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</row>
    <row r="668" spans="1:25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</row>
    <row r="669" spans="1:25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</row>
    <row r="670" spans="1:25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</row>
    <row r="671" spans="1:25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</row>
    <row r="672" spans="1:25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</row>
    <row r="673" spans="1:25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</row>
    <row r="674" spans="1:25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</row>
    <row r="675" spans="1:2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</row>
    <row r="676" spans="1:25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</row>
    <row r="677" spans="1:25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</row>
    <row r="678" spans="1:25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</row>
    <row r="679" spans="1:25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</row>
    <row r="680" spans="1:25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</row>
    <row r="681" spans="1:25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</row>
    <row r="682" spans="1:25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</row>
    <row r="683" spans="1:25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</row>
    <row r="684" spans="1:25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</row>
    <row r="685" spans="1:2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</row>
    <row r="686" spans="1:25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</row>
    <row r="687" spans="1:25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</row>
    <row r="688" spans="1:25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</row>
    <row r="689" spans="1:25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</row>
    <row r="690" spans="1:25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</row>
    <row r="691" spans="1:25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</row>
    <row r="692" spans="1:25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</row>
    <row r="693" spans="1:25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</row>
    <row r="694" spans="1:25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</row>
    <row r="695" spans="1:2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</row>
    <row r="696" spans="1:25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</row>
    <row r="697" spans="1:25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</row>
    <row r="698" spans="1:25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</row>
    <row r="699" spans="1:25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</row>
    <row r="700" spans="1:25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</row>
    <row r="701" spans="1:25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</row>
    <row r="702" spans="1:25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</row>
    <row r="703" spans="1:25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</row>
    <row r="704" spans="1:25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</row>
    <row r="705" spans="1:2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</row>
    <row r="706" spans="1:25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</row>
    <row r="707" spans="1:25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</row>
    <row r="708" spans="1:25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</row>
    <row r="709" spans="1:25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</row>
    <row r="710" spans="1:25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</row>
    <row r="711" spans="1:25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</row>
    <row r="712" spans="1:25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</row>
    <row r="713" spans="1:25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</row>
    <row r="714" spans="1:25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</row>
    <row r="715" spans="1:2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</row>
    <row r="716" spans="1:25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</row>
    <row r="717" spans="1:25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</row>
    <row r="718" spans="1:25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</row>
    <row r="719" spans="1:25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</row>
    <row r="720" spans="1:25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</row>
    <row r="721" spans="1:25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</row>
    <row r="722" spans="1:25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</row>
    <row r="723" spans="1:25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</row>
    <row r="724" spans="1:25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</row>
    <row r="725" spans="1: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</row>
    <row r="726" spans="1:25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</row>
    <row r="727" spans="1:25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</row>
    <row r="728" spans="1:25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</row>
    <row r="729" spans="1:25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</row>
    <row r="730" spans="1:25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</row>
    <row r="731" spans="1:25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</row>
    <row r="732" spans="1:25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</row>
    <row r="733" spans="1:25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</row>
    <row r="734" spans="1:25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</row>
    <row r="735" spans="1:2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</row>
    <row r="736" spans="1:25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</row>
    <row r="737" spans="1:25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</row>
    <row r="738" spans="1:25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</row>
    <row r="739" spans="1:25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</row>
    <row r="740" spans="1:25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</row>
    <row r="741" spans="1:25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</row>
    <row r="742" spans="1:25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</row>
    <row r="743" spans="1:25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</row>
    <row r="744" spans="1:25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</row>
    <row r="745" spans="1:2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</row>
    <row r="746" spans="1:25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</row>
    <row r="747" spans="1:25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</row>
    <row r="748" spans="1:25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</row>
    <row r="749" spans="1:25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</row>
    <row r="750" spans="1:25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</row>
    <row r="751" spans="1:25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</row>
    <row r="752" spans="1:25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</row>
    <row r="753" spans="1:25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</row>
    <row r="754" spans="1:25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</row>
    <row r="755" spans="1:2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</row>
    <row r="756" spans="1:25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</row>
    <row r="757" spans="1:25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</row>
    <row r="758" spans="1:25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</row>
    <row r="759" spans="1:25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</row>
    <row r="760" spans="1:25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</row>
    <row r="761" spans="1:25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</row>
    <row r="762" spans="1:25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</row>
    <row r="763" spans="1:25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</row>
    <row r="764" spans="1:25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</row>
    <row r="765" spans="1:2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</row>
    <row r="766" spans="1:25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</row>
    <row r="767" spans="1:25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</row>
    <row r="768" spans="1:25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</row>
    <row r="769" spans="1:25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</row>
    <row r="770" spans="1:25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</row>
    <row r="771" spans="1:25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</row>
    <row r="772" spans="1:25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</row>
    <row r="773" spans="1:25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</row>
    <row r="774" spans="1:25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</row>
    <row r="775" spans="1:2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</row>
    <row r="776" spans="1:25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</row>
    <row r="777" spans="1:25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</row>
    <row r="778" spans="1:25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</row>
    <row r="779" spans="1:25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</row>
    <row r="780" spans="1:25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</row>
    <row r="781" spans="1:25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</row>
    <row r="782" spans="1:25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</row>
    <row r="783" spans="1:25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</row>
    <row r="784" spans="1:25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</row>
    <row r="785" spans="1:2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</row>
    <row r="786" spans="1:25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</row>
    <row r="787" spans="1:25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</row>
    <row r="788" spans="1:25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</row>
    <row r="789" spans="1:25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</row>
    <row r="790" spans="1:25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</row>
    <row r="791" spans="1:25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</row>
    <row r="792" spans="1:25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</row>
    <row r="793" spans="1:25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</row>
    <row r="794" spans="1:25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</row>
    <row r="795" spans="1:2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</row>
    <row r="796" spans="1:25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</row>
    <row r="797" spans="1:25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</row>
    <row r="798" spans="1:25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</row>
    <row r="799" spans="1:25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</row>
    <row r="800" spans="1:25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</row>
    <row r="801" spans="1:25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</row>
    <row r="802" spans="1:25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</row>
    <row r="803" spans="1:25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</row>
    <row r="804" spans="1:25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</row>
    <row r="805" spans="1:2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</row>
    <row r="806" spans="1:25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</row>
    <row r="807" spans="1:25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</row>
    <row r="808" spans="1:25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</row>
    <row r="809" spans="1:25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</row>
    <row r="810" spans="1:25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</row>
    <row r="811" spans="1:25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</row>
    <row r="812" spans="1:25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</row>
    <row r="813" spans="1:25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</row>
    <row r="814" spans="1:25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</row>
    <row r="815" spans="1:2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</row>
    <row r="816" spans="1:25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</row>
    <row r="817" spans="1:25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</row>
    <row r="818" spans="1:25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</row>
    <row r="819" spans="1:25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</row>
    <row r="820" spans="1:25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</row>
    <row r="821" spans="1:25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</row>
    <row r="822" spans="1:25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</row>
    <row r="823" spans="1:25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</row>
    <row r="824" spans="1:25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</row>
    <row r="825" spans="1: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</row>
    <row r="826" spans="1:25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</row>
    <row r="827" spans="1:25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</row>
    <row r="828" spans="1:25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</row>
    <row r="829" spans="1:25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</row>
    <row r="830" spans="1:25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</row>
    <row r="831" spans="1:25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</row>
    <row r="832" spans="1:25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</row>
    <row r="833" spans="1:25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</row>
    <row r="834" spans="1:25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</row>
    <row r="835" spans="1:2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</row>
    <row r="836" spans="1:25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</row>
    <row r="837" spans="1:25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</row>
    <row r="838" spans="1:25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</row>
    <row r="839" spans="1:25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</row>
    <row r="840" spans="1:25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</row>
    <row r="841" spans="1:25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</row>
    <row r="842" spans="1:25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</row>
    <row r="843" spans="1:25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</row>
    <row r="844" spans="1:25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</row>
    <row r="845" spans="1:2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</row>
    <row r="846" spans="1:25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</row>
    <row r="847" spans="1:25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</row>
    <row r="848" spans="1:25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</row>
    <row r="849" spans="1:25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</row>
    <row r="850" spans="1:25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</row>
    <row r="851" spans="1:25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</row>
    <row r="852" spans="1:25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</row>
    <row r="853" spans="1:25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</row>
    <row r="854" spans="1:25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</row>
    <row r="855" spans="1:2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</row>
    <row r="856" spans="1:25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</row>
    <row r="857" spans="1:25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</row>
    <row r="858" spans="1:25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</row>
    <row r="859" spans="1:25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</row>
    <row r="860" spans="1:25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</row>
    <row r="861" spans="1:25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</row>
    <row r="862" spans="1:25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</row>
    <row r="863" spans="1:25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</row>
    <row r="864" spans="1:25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</row>
    <row r="865" spans="1:2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</row>
    <row r="866" spans="1:25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</row>
    <row r="867" spans="1:25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</row>
    <row r="868" spans="1:25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</row>
    <row r="869" spans="1:25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</row>
    <row r="870" spans="1:25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</row>
    <row r="871" spans="1:25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</row>
    <row r="872" spans="1:25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</row>
    <row r="873" spans="1:25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</row>
    <row r="874" spans="1:25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</row>
    <row r="875" spans="1:2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</row>
    <row r="876" spans="1:25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</row>
    <row r="877" spans="1:25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</row>
    <row r="878" spans="1:25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</row>
    <row r="879" spans="1:25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</row>
    <row r="880" spans="1:25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</row>
    <row r="881" spans="1:25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</row>
    <row r="882" spans="1:25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</row>
    <row r="883" spans="1:25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</row>
    <row r="884" spans="1:25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</row>
    <row r="885" spans="1:2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</row>
    <row r="886" spans="1:25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</row>
    <row r="887" spans="1:25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</row>
    <row r="888" spans="1:25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</row>
    <row r="889" spans="1:25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</row>
    <row r="890" spans="1:25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</row>
    <row r="891" spans="1:25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</row>
    <row r="892" spans="1:25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</row>
    <row r="893" spans="1:25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</row>
    <row r="894" spans="1:25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</row>
    <row r="895" spans="1:2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</row>
    <row r="896" spans="1:25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</row>
    <row r="897" spans="1:25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</row>
    <row r="898" spans="1:25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</row>
    <row r="899" spans="1:25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</row>
    <row r="900" spans="1:25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</row>
    <row r="901" spans="1:25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</row>
    <row r="902" spans="1:25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</row>
    <row r="903" spans="1:25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</row>
    <row r="904" spans="1:25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</row>
    <row r="905" spans="1:2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</row>
    <row r="906" spans="1:25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</row>
    <row r="907" spans="1:25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</row>
    <row r="908" spans="1:25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</row>
    <row r="909" spans="1:25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</row>
    <row r="910" spans="1:25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</row>
    <row r="911" spans="1:25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</row>
    <row r="912" spans="1:25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</row>
    <row r="913" spans="1:25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</row>
    <row r="914" spans="1:25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</row>
    <row r="915" spans="1:2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</row>
    <row r="916" spans="1:25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</row>
    <row r="917" spans="1:25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</row>
    <row r="918" spans="1:25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</row>
    <row r="919" spans="1:25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</row>
    <row r="920" spans="1:25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</row>
    <row r="921" spans="1:25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</row>
    <row r="922" spans="1:25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</row>
    <row r="923" spans="1:25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</row>
    <row r="924" spans="1:25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</row>
    <row r="925" spans="1: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</row>
    <row r="926" spans="1:25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</row>
    <row r="927" spans="1:25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</row>
    <row r="928" spans="1:25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</row>
    <row r="929" spans="1:25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</row>
    <row r="930" spans="1:25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</row>
    <row r="931" spans="1:25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</row>
    <row r="932" spans="1:25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</row>
    <row r="933" spans="1:25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</row>
    <row r="934" spans="1:25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</row>
    <row r="935" spans="1:2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</row>
    <row r="936" spans="1:25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</row>
    <row r="937" spans="1:25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</row>
    <row r="938" spans="1:25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</row>
    <row r="939" spans="1:25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</row>
    <row r="940" spans="1:25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</row>
    <row r="941" spans="1:25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</row>
    <row r="942" spans="1:25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</row>
    <row r="943" spans="1:25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</row>
    <row r="944" spans="1:25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</row>
    <row r="945" spans="1:2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</row>
    <row r="946" spans="1:25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</row>
    <row r="947" spans="1:25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</row>
    <row r="948" spans="1:25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</row>
    <row r="949" spans="1:25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</row>
    <row r="950" spans="1:25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</row>
    <row r="951" spans="1:25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</row>
    <row r="952" spans="1:25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</row>
    <row r="953" spans="1:25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</row>
    <row r="954" spans="1:25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</row>
    <row r="955" spans="1:2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</row>
    <row r="956" spans="1:25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</row>
    <row r="957" spans="1:25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</row>
    <row r="958" spans="1:25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</row>
    <row r="959" spans="1:25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</row>
    <row r="960" spans="1:25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</row>
    <row r="961" spans="1:25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</row>
    <row r="962" spans="1:25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</row>
    <row r="963" spans="1:25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</row>
    <row r="964" spans="1:25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</row>
    <row r="965" spans="1:2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</row>
    <row r="966" spans="1:25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</row>
    <row r="967" spans="1:25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</row>
    <row r="968" spans="1:25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</row>
    <row r="969" spans="1:25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</row>
    <row r="970" spans="1:25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</row>
    <row r="971" spans="1:25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</row>
    <row r="972" spans="1:25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</row>
    <row r="973" spans="1:25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</row>
    <row r="974" spans="1:25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</row>
    <row r="975" spans="1:2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</row>
    <row r="976" spans="1:25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</row>
    <row r="977" spans="1:25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</row>
    <row r="978" spans="1:25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</row>
    <row r="979" spans="1:25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</row>
    <row r="980" spans="1:25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</row>
    <row r="981" spans="1:25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</row>
    <row r="982" spans="1:25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</row>
    <row r="983" spans="1:25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</row>
    <row r="984" spans="1:25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</row>
    <row r="985" spans="1:2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</row>
    <row r="986" spans="1:25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</row>
    <row r="987" spans="1:25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</row>
    <row r="988" spans="1:25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</row>
    <row r="989" spans="1:25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</row>
    <row r="990" spans="1:25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</row>
    <row r="991" spans="1:25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</row>
    <row r="992" spans="1:25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</row>
    <row r="993" spans="1:25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</row>
    <row r="994" spans="1:25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</row>
    <row r="995" spans="1:2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</row>
    <row r="996" spans="1:25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</row>
    <row r="997" spans="1:25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</row>
    <row r="998" spans="1:25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</row>
    <row r="999" spans="1:25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</row>
    <row r="1000" spans="1:25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</row>
  </sheetData>
  <mergeCells>
    <mergeCell ref="B33:E33"/>
    <mergeCell ref="P33:S33"/>
    <mergeCell ref="B34:E34"/>
    <mergeCell ref="P34:S34"/>
    <mergeCell ref="B35:E35"/>
    <mergeCell ref="P35:S35"/>
    <mergeCell ref="A7:A9"/>
    <mergeCell ref="B7:C9"/>
    <mergeCell ref="D7:E8"/>
    <mergeCell ref="F7:O7"/>
    <mergeCell ref="P7:W7"/>
    <mergeCell ref="A1:Y1"/>
    <mergeCell ref="A2:Y2"/>
    <mergeCell ref="A3:Y3"/>
    <mergeCell ref="A4:Y4"/>
    <mergeCell ref="A5:Y5"/>
    <mergeCell ref="X7:Y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A28:A30"/>
    <mergeCell ref="A10:A12"/>
    <mergeCell ref="A13:A15"/>
    <mergeCell ref="A16:A18"/>
    <mergeCell ref="A19:A21"/>
    <mergeCell ref="A22:A24"/>
    <mergeCell ref="A25:A27"/>
  </mergeCells>
  <printOptions gridLines="false" gridLinesSet="true"/>
  <pageMargins left="0.7" right="0.7" top="0.75" bottom="0.75" header="0.3" footer="0.3"/>
  <pageSetup paperSize="9" orientation="landscape" scale="82" fitToHeight="0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SNS Form Highschool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2026-01-22T07:23:09+00:00</dcterms:created>
  <dcterms:modified xsi:type="dcterms:W3CDTF">2026-05-18T06:10:39+00:00</dcterms:modified>
  <dc:title/>
  <dc:description/>
  <dc:subject/>
  <cp:keywords/>
  <cp:category/>
</cp:coreProperties>
</file>