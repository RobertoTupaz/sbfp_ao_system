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<sst xmlns="http://schemas.openxmlformats.org/spreadsheetml/2006/main" uniqueCount="32">
  <si>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</si>
  <si>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</si>
  <si>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</si>
  <si>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</si>
  <si>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</si>
  <si>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</si>
  <si>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</si>
  <si>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</si>
  <si>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</si>
  <si>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</si>
  <si>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</si>
  <si>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</si>
  <si>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</si>
  <si>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</si>
  <si>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</si>
  <si>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</si>
  <si>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</si>
  <si>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</si>
  <si>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</si>
  <si>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</si>
  <si>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</si>
  <si>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</si>
  <si>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</si>
  <si>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</si>
  <si>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</si>
  <si>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</si>
  <si>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</si>
  <si>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</si>
  <si>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</si>
  <si>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</si>
  <si>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</si>
  <si>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sirronnie69@yahoo.com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</si>
</sst>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vertical="center" textRotation="0" wrapText="false" shrinkToFit="false"/>
    </xf>
    <xf xfId="0" fontId="6" numFmtId="3" fillId="2" borderId="16" applyFont="1" applyNumberFormat="1" applyFill="1" applyBorder="1" applyAlignment="1">
      <alignment horizontal="center"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7" numFmtId="10" fillId="2" borderId="17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18" applyFont="1" applyNumberFormat="0" applyFill="0" applyBorder="1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1" numFmtId="0" fillId="0" borderId="22" applyFont="1" applyNumberFormat="0" applyFill="0" applyBorder="1" applyAlignment="0"/>
    <xf xfId="0" fontId="11" numFmtId="0" fillId="0" borderId="6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2" numFmtId="0" fillId="0" borderId="24" applyFont="1" applyNumberFormat="0" applyFill="0" applyBorder="1" applyAlignment="1">
      <alignment horizontal="center" vertical="center" textRotation="0" wrapText="true" shrinkToFit="false"/>
    </xf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center" textRotation="0" wrapText="false" shrinkToFit="false"/>
    </xf>
    <xf xfId="0" fontId="11" numFmtId="0" fillId="0" borderId="29" applyFont="1" applyNumberFormat="0" applyFill="0" applyBorder="1" applyAlignment="0"/>
    <xf xfId="0" fontId="14" numFmtId="0" fillId="0" borderId="30" applyFont="1" applyNumberFormat="0" applyFill="0" applyBorder="1" applyAlignment="1">
      <alignment horizontal="center" vertical="center" textRotation="0" wrapText="false" shrinkToFit="false"/>
    </xf>
    <xf xfId="0" fontId="15" numFmtId="0" fillId="0" borderId="30" applyFont="1" applyNumberFormat="0" applyFill="0" applyBorder="1" applyAlignment="1">
      <alignment horizontal="center" vertical="center" textRotation="0" wrapText="false" shrinkToFit="false"/>
    </xf>
    <xf xfId="0" fontId="11" numFmtId="0" fillId="0" borderId="31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bottom" textRotation="0" wrapText="false" shrinkToFit="false"/>
    </xf>
    <xf xfId="0" fontId="15" numFmtId="0" fillId="0" borderId="3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2" applyFont="1" applyNumberFormat="0" applyFill="0" applyBorder="1" applyAlignment="1">
      <alignment horizontal="center" vertical="center" textRotation="0" wrapText="tru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1" numFmtId="0" fillId="0" borderId="38" applyFont="1" applyNumberFormat="0" applyFill="0" applyBorder="1" applyAlignment="0"/>
    <xf xfId="0" fontId="11" numFmtId="0" fillId="0" borderId="39" applyFont="1" applyNumberFormat="0" applyFill="0" applyBorder="1" applyAlignment="0"/>
    <xf xfId="0" fontId="11" numFmtId="0" fillId="0" borderId="40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0"/>
    <xf xfId="0" fontId="11" numFmtId="0" fillId="0" borderId="42" applyFont="1" applyNumberFormat="0" applyFill="0" applyBorder="1" applyAlignment="0"/>
    <xf xfId="0" fontId="10" numFmtId="0" fillId="3" borderId="43" applyFont="1" applyNumberFormat="0" applyFill="1" applyBorder="1" applyAlignment="1">
      <alignment horizontal="center" vertical="bottom" textRotation="0" wrapText="false" shrinkToFit="false"/>
    </xf>
    <xf xfId="0" fontId="11" numFmtId="0" fillId="0" borderId="44" applyFont="1" applyNumberFormat="0" applyFill="0" applyBorder="1" applyAlignment="0"/>
    <xf xfId="0" fontId="11" numFmtId="0" fillId="0" borderId="45" applyFont="1" applyNumberFormat="0" applyFill="0" applyBorder="1" applyAlignment="0"/>
    <xf xfId="0" fontId="10" numFmtId="0" fillId="2" borderId="4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yperlink_1" Type="http://schemas.openxmlformats.org/officeDocument/2006/relationships/hyperlink" Target="mailto:sirronnie69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00"/>
  <sheetViews>
    <sheetView tabSelected="1" workbookViewId="0" showGridLines="true" showRowColHeaders="1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1" t="s">
        <v>5</v>
      </c>
      <c r="B7" s="54" t="s">
        <v>6</v>
      </c>
      <c r="C7" s="55"/>
      <c r="D7" s="60" t="s">
        <v>7</v>
      </c>
      <c r="E7" s="61"/>
      <c r="F7" s="63" t="s">
        <v>8</v>
      </c>
      <c r="G7" s="64"/>
      <c r="H7" s="64"/>
      <c r="I7" s="64"/>
      <c r="J7" s="64"/>
      <c r="K7" s="64"/>
      <c r="L7" s="64"/>
      <c r="M7" s="64"/>
      <c r="N7" s="64"/>
      <c r="O7" s="65"/>
      <c r="P7" s="66" t="s">
        <v>9</v>
      </c>
      <c r="Q7" s="64"/>
      <c r="R7" s="64"/>
      <c r="S7" s="64"/>
      <c r="T7" s="64"/>
      <c r="U7" s="64"/>
      <c r="V7" s="64"/>
      <c r="W7" s="65"/>
      <c r="X7" s="35" t="s">
        <v>10</v>
      </c>
      <c r="Y7" s="36"/>
    </row>
    <row r="8" spans="1:25">
      <c r="A8" s="52"/>
      <c r="B8" s="56"/>
      <c r="C8" s="57"/>
      <c r="D8" s="62"/>
      <c r="E8" s="38"/>
      <c r="F8" s="39" t="s">
        <v>11</v>
      </c>
      <c r="G8" s="40"/>
      <c r="H8" s="41" t="s">
        <v>12</v>
      </c>
      <c r="I8" s="40"/>
      <c r="J8" s="42" t="s">
        <v>13</v>
      </c>
      <c r="K8" s="40"/>
      <c r="L8" s="42" t="s">
        <v>14</v>
      </c>
      <c r="M8" s="40"/>
      <c r="N8" s="42" t="s">
        <v>15</v>
      </c>
      <c r="O8" s="43"/>
      <c r="P8" s="44" t="s">
        <v>16</v>
      </c>
      <c r="Q8" s="40"/>
      <c r="R8" s="45" t="s">
        <v>17</v>
      </c>
      <c r="S8" s="40"/>
      <c r="T8" s="46" t="s">
        <v>13</v>
      </c>
      <c r="U8" s="40"/>
      <c r="V8" s="46" t="s">
        <v>18</v>
      </c>
      <c r="W8" s="43"/>
      <c r="X8" s="37"/>
      <c r="Y8" s="38"/>
    </row>
    <row r="9" spans="1:25" customHeight="1" ht="15">
      <c r="A9" s="53"/>
      <c r="B9" s="58"/>
      <c r="C9" s="59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1" t="s">
        <v>21</v>
      </c>
      <c r="B10" s="6" t="s">
        <v>22</v>
      </c>
      <c r="C10" s="7">
        <v>0</v>
      </c>
      <c r="D10" s="8">
        <f>SUM(F10,H10,J10,L10,N10)</f>
        <v>0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0">
        <f>SUM(V10,T10,R10,P10)</f>
        <v>0</v>
      </c>
      <c r="Y10" s="9">
        <f>IF(X10="","",IF($D10=0,0,X10/$D10))</f>
        <v>0</v>
      </c>
    </row>
    <row r="11" spans="1:25">
      <c r="A11" s="32"/>
      <c r="B11" s="11" t="s">
        <v>23</v>
      </c>
      <c r="C11" s="7">
        <v>0</v>
      </c>
      <c r="D11" s="10">
        <f>SUM(F11,H11,J11,L11,N11)</f>
        <v>0</v>
      </c>
      <c r="E11" s="9" t="e">
        <f>IF(D11="","",D11/$C11)</f>
        <v>#DIV/0!</v>
      </c>
      <c r="F11" s="10">
        <v>0</v>
      </c>
      <c r="G11" s="9">
        <f>IF(F11="","",IF($D11=0,0,F11/$D11))</f>
        <v>0</v>
      </c>
      <c r="H11" s="10">
        <v>0</v>
      </c>
      <c r="I11" s="9">
        <f>IF(H11="","",IF($D11=0,0,H11/$D11))</f>
        <v>0</v>
      </c>
      <c r="J11" s="10">
        <v>0</v>
      </c>
      <c r="K11" s="9">
        <f>IF(J11="","",IF($D11=0,0,J11/$D11))</f>
        <v>0</v>
      </c>
      <c r="L11" s="10">
        <v>0</v>
      </c>
      <c r="M11" s="9">
        <f>IF(L11="","",IF($D11=0,0,L11/$D11))</f>
        <v>0</v>
      </c>
      <c r="N11" s="10">
        <v>0</v>
      </c>
      <c r="O11" s="9">
        <f>IF(N11="","",IF($D11=0,0,N11/$D11))</f>
        <v>0</v>
      </c>
      <c r="P11" s="10">
        <v>0</v>
      </c>
      <c r="Q11" s="9">
        <f>IF(P11="","",IF($D11=0,0,P11/$D11))</f>
        <v>0</v>
      </c>
      <c r="R11" s="10">
        <v>0</v>
      </c>
      <c r="S11" s="9">
        <f>IF(R11="","",IF($D11=0,0,R11/$D11))</f>
        <v>0</v>
      </c>
      <c r="T11" s="10">
        <v>0</v>
      </c>
      <c r="U11" s="9">
        <f>IF(T11="","",IF($D11=0,0,T11/$D11))</f>
        <v>0</v>
      </c>
      <c r="V11" s="10">
        <v>0</v>
      </c>
      <c r="W11" s="9">
        <f>IF(V11="","",IF($D11=0,0,V11/$D11))</f>
        <v>0</v>
      </c>
      <c r="X11" s="10">
        <f>SUM(V11,T11,R11,P11)</f>
        <v>0</v>
      </c>
      <c r="Y11" s="9">
        <f>IF(X11="","",IF($D11=0,0,X11/$D11))</f>
        <v>0</v>
      </c>
    </row>
    <row r="12" spans="1:25">
      <c r="A12" s="33"/>
      <c r="B12" s="12" t="s">
        <v>24</v>
      </c>
      <c r="C12" s="13">
        <f>IF($A$42="","",IF(C10="","",SUM(C10,C11)))</f>
        <v>0</v>
      </c>
      <c r="D12" s="14">
        <f>SUM(D10:D11)</f>
        <v>0</v>
      </c>
      <c r="E12" s="15" t="e">
        <f>IF(D12="","",D12/$C12)</f>
        <v>#DIV/0!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34" t="s">
        <v>25</v>
      </c>
      <c r="B13" s="11" t="s">
        <v>22</v>
      </c>
      <c r="C13" s="7">
        <v>0</v>
      </c>
      <c r="D13" s="10">
        <f>SUM(F13,H13,J13,L13,N13)</f>
        <v>0</v>
      </c>
      <c r="E13" s="9" t="e">
        <f>IF(D13="","",D13/$C13)</f>
        <v>#DIV/0!</v>
      </c>
      <c r="F13" s="10">
        <v>0</v>
      </c>
      <c r="G13" s="9">
        <f>IF(F13="","",IF($D13=0,0,F13/$D13))</f>
        <v>0</v>
      </c>
      <c r="H13" s="10">
        <v>0</v>
      </c>
      <c r="I13" s="9">
        <f>IF(H13="","",IF($D13=0,0,H13/$D13))</f>
        <v>0</v>
      </c>
      <c r="J13" s="10">
        <v>0</v>
      </c>
      <c r="K13" s="9">
        <f>IF(J13="","",IF($D13=0,0,J13/$D13))</f>
        <v>0</v>
      </c>
      <c r="L13" s="10">
        <v>0</v>
      </c>
      <c r="M13" s="9">
        <f>IF(L13="","",IF($D13=0,0,L13/$D13))</f>
        <v>0</v>
      </c>
      <c r="N13" s="10">
        <v>0</v>
      </c>
      <c r="O13" s="9">
        <f>IF(N13="","",IF($D13=0,0,N13/$D13))</f>
        <v>0</v>
      </c>
      <c r="P13" s="10">
        <v>0</v>
      </c>
      <c r="Q13" s="9">
        <f>IF(P13="","",IF($D13=0,0,P13/$D13))</f>
        <v>0</v>
      </c>
      <c r="R13" s="10">
        <v>0</v>
      </c>
      <c r="S13" s="9">
        <f>IF(R13="","",IF($D13=0,0,R13/$D13))</f>
        <v>0</v>
      </c>
      <c r="T13" s="10">
        <v>0</v>
      </c>
      <c r="U13" s="9">
        <f>IF(T13="","",IF($D13=0,0,T13/$D13))</f>
        <v>0</v>
      </c>
      <c r="V13" s="10">
        <v>0</v>
      </c>
      <c r="W13" s="9">
        <f>IF(V13="","",IF($D13=0,0,V13/$D13))</f>
        <v>0</v>
      </c>
      <c r="X13" s="10">
        <f>SUM(V13,T13,R13,P13)</f>
        <v>0</v>
      </c>
      <c r="Y13" s="9">
        <f>IF(X13="","",IF($D13=0,0,X13/$D13))</f>
        <v>0</v>
      </c>
    </row>
    <row r="14" spans="1:25">
      <c r="A14" s="32"/>
      <c r="B14" s="11" t="s">
        <v>23</v>
      </c>
      <c r="C14" s="7">
        <v>0</v>
      </c>
      <c r="D14" s="10">
        <f>SUM(F14,H14,J14,L14,N14)</f>
        <v>0</v>
      </c>
      <c r="E14" s="9" t="e">
        <f>IF(D14="","",D14/$C14)</f>
        <v>#DIV/0!</v>
      </c>
      <c r="F14" s="10">
        <v>0</v>
      </c>
      <c r="G14" s="9">
        <f>IF(F14="","",IF($D14=0,0,F14/$D14))</f>
        <v>0</v>
      </c>
      <c r="H14" s="10">
        <v>0</v>
      </c>
      <c r="I14" s="9">
        <f>IF(H14="","",IF($D14=0,0,H14/$D14))</f>
        <v>0</v>
      </c>
      <c r="J14" s="10">
        <v>0</v>
      </c>
      <c r="K14" s="9">
        <f>IF(J14="","",IF($D14=0,0,J14/$D14))</f>
        <v>0</v>
      </c>
      <c r="L14" s="10">
        <v>0</v>
      </c>
      <c r="M14" s="9">
        <f>IF(L14="","",IF($D14=0,0,L14/$D14))</f>
        <v>0</v>
      </c>
      <c r="N14" s="10">
        <v>0</v>
      </c>
      <c r="O14" s="9">
        <f>IF(N14="","",IF($D14=0,0,N14/$D14))</f>
        <v>0</v>
      </c>
      <c r="P14" s="10">
        <v>0</v>
      </c>
      <c r="Q14" s="9">
        <f>IF(P14="","",IF($D14=0,0,P14/$D14))</f>
        <v>0</v>
      </c>
      <c r="R14" s="10">
        <v>0</v>
      </c>
      <c r="S14" s="9">
        <f>IF(R14="","",IF($D14=0,0,R14/$D14))</f>
        <v>0</v>
      </c>
      <c r="T14" s="10">
        <v>0</v>
      </c>
      <c r="U14" s="9">
        <f>IF(T14="","",IF($D14=0,0,T14/$D14))</f>
        <v>0</v>
      </c>
      <c r="V14" s="10">
        <v>0</v>
      </c>
      <c r="W14" s="9">
        <f>IF(V14="","",IF($D14=0,0,V14/$D14))</f>
        <v>0</v>
      </c>
      <c r="X14" s="10">
        <f>SUM(V14,T14,R14,P14)</f>
        <v>0</v>
      </c>
      <c r="Y14" s="9">
        <f>IF(X14="","",IF($D14=0,0,X14/$D14))</f>
        <v>0</v>
      </c>
    </row>
    <row r="15" spans="1:25">
      <c r="A15" s="33"/>
      <c r="B15" s="12" t="s">
        <v>24</v>
      </c>
      <c r="C15" s="13">
        <f>IF($A$42="","",IF(C13="","",SUM(C13,C14)))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4" t="s">
        <v>26</v>
      </c>
      <c r="B16" s="11" t="s">
        <v>22</v>
      </c>
      <c r="C16" s="7">
        <v>0</v>
      </c>
      <c r="D16" s="10">
        <f>SUM(F16,H16,J16,L16,N16)</f>
        <v>0</v>
      </c>
      <c r="E16" s="9" t="e">
        <f>IF(D16="","",D16/$C16)</f>
        <v>#DIV/0!</v>
      </c>
      <c r="F16" s="10">
        <v>0</v>
      </c>
      <c r="G16" s="9">
        <f>IF(F16="","",IF($D16=0,0,F16/$D16))</f>
        <v>0</v>
      </c>
      <c r="H16" s="10">
        <v>0</v>
      </c>
      <c r="I16" s="9">
        <f>IF(H16="","",IF($D16=0,0,H16/$D16))</f>
        <v>0</v>
      </c>
      <c r="J16" s="10">
        <v>0</v>
      </c>
      <c r="K16" s="9">
        <f>IF(J16="","",IF($D16=0,0,J16/$D16))</f>
        <v>0</v>
      </c>
      <c r="L16" s="10">
        <v>0</v>
      </c>
      <c r="M16" s="9">
        <f>IF(L16="","",IF($D16=0,0,L16/$D16))</f>
        <v>0</v>
      </c>
      <c r="N16" s="10">
        <v>0</v>
      </c>
      <c r="O16" s="9">
        <f>IF(N16="","",IF($D16=0,0,N16/$D16))</f>
        <v>0</v>
      </c>
      <c r="P16" s="10">
        <v>0</v>
      </c>
      <c r="Q16" s="9">
        <f>IF(P16="","",IF($D16=0,0,P16/$D16))</f>
        <v>0</v>
      </c>
      <c r="R16" s="10">
        <v>0</v>
      </c>
      <c r="S16" s="9">
        <f>IF(R16="","",IF($D16=0,0,R16/$D16))</f>
        <v>0</v>
      </c>
      <c r="T16" s="10">
        <v>0</v>
      </c>
      <c r="U16" s="9">
        <f>IF(T16="","",IF($D16=0,0,T16/$D16))</f>
        <v>0</v>
      </c>
      <c r="V16" s="10">
        <v>0</v>
      </c>
      <c r="W16" s="9">
        <f>IF(V16="","",IF($D16=0,0,V16/$D16))</f>
        <v>0</v>
      </c>
      <c r="X16" s="10">
        <f>SUM(V16,T16,R16,P16)</f>
        <v>0</v>
      </c>
      <c r="Y16" s="9">
        <f>IF(X16="","",IF($D16=0,0,X16/$D16))</f>
        <v>0</v>
      </c>
    </row>
    <row r="17" spans="1:25">
      <c r="A17" s="32"/>
      <c r="B17" s="11" t="s">
        <v>23</v>
      </c>
      <c r="C17" s="7">
        <v>0</v>
      </c>
      <c r="D17" s="10">
        <f>SUM(F17,H17,J17,L17,N17)</f>
        <v>0</v>
      </c>
      <c r="E17" s="9" t="e">
        <f>IF(D17="","",D17/$C17)</f>
        <v>#DIV/0!</v>
      </c>
      <c r="F17" s="10">
        <v>0</v>
      </c>
      <c r="G17" s="9">
        <f>IF(F17="","",IF($D17=0,0,F17/$D17))</f>
        <v>0</v>
      </c>
      <c r="H17" s="10">
        <v>0</v>
      </c>
      <c r="I17" s="9">
        <f>IF(H17="","",IF($D17=0,0,H17/$D17))</f>
        <v>0</v>
      </c>
      <c r="J17" s="10">
        <v>0</v>
      </c>
      <c r="K17" s="9">
        <f>IF(J17="","",IF($D17=0,0,J17/$D17))</f>
        <v>0</v>
      </c>
      <c r="L17" s="10">
        <v>0</v>
      </c>
      <c r="M17" s="9">
        <f>IF(L17="","",IF($D17=0,0,L17/$D17))</f>
        <v>0</v>
      </c>
      <c r="N17" s="10">
        <v>0</v>
      </c>
      <c r="O17" s="9">
        <f>IF(N17="","",IF($D17=0,0,N17/$D17))</f>
        <v>0</v>
      </c>
      <c r="P17" s="10">
        <v>0</v>
      </c>
      <c r="Q17" s="9">
        <f>IF(P17="","",IF($D17=0,0,P17/$D17))</f>
        <v>0</v>
      </c>
      <c r="R17" s="10">
        <v>0</v>
      </c>
      <c r="S17" s="9">
        <f>IF(R17="","",IF($D17=0,0,R17/$D17))</f>
        <v>0</v>
      </c>
      <c r="T17" s="10">
        <v>0</v>
      </c>
      <c r="U17" s="9">
        <f>IF(T17="","",IF($D17=0,0,T17/$D17))</f>
        <v>0</v>
      </c>
      <c r="V17" s="10">
        <v>0</v>
      </c>
      <c r="W17" s="9">
        <f>IF(V17="","",IF($D17=0,0,V17/$D17))</f>
        <v>0</v>
      </c>
      <c r="X17" s="10">
        <f>SUM(V17,T17,R17,P17)</f>
        <v>0</v>
      </c>
      <c r="Y17" s="9">
        <f>IF(X17="","",IF($D17=0,0,X17/$D17))</f>
        <v>0</v>
      </c>
    </row>
    <row r="18" spans="1:25">
      <c r="A18" s="33"/>
      <c r="B18" s="12" t="s">
        <v>24</v>
      </c>
      <c r="C18" s="13">
        <f>IF($A$42="","",IF(C16="","",SUM(C16,C17)))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4" t="s">
        <v>27</v>
      </c>
      <c r="B19" s="11" t="s">
        <v>22</v>
      </c>
      <c r="C19" s="7">
        <v>0</v>
      </c>
      <c r="D19" s="10">
        <f>SUM(F19,H19,J19,L19,N19)</f>
        <v>0</v>
      </c>
      <c r="E19" s="9" t="e">
        <f>IF(D19="","",D19/$C19)</f>
        <v>#DIV/0!</v>
      </c>
      <c r="F19" s="10">
        <v>0</v>
      </c>
      <c r="G19" s="9">
        <f>IF(F19="","",IF($D19=0,0,F19/$D19))</f>
        <v>0</v>
      </c>
      <c r="H19" s="10">
        <v>0</v>
      </c>
      <c r="I19" s="9">
        <f>IF(H19="","",IF($D19=0,0,H19/$D19))</f>
        <v>0</v>
      </c>
      <c r="J19" s="10">
        <v>0</v>
      </c>
      <c r="K19" s="9">
        <f>IF(J19="","",IF($D19=0,0,J19/$D19))</f>
        <v>0</v>
      </c>
      <c r="L19" s="10">
        <v>0</v>
      </c>
      <c r="M19" s="9">
        <f>IF(L19="","",IF($D19=0,0,L19/$D19))</f>
        <v>0</v>
      </c>
      <c r="N19" s="10">
        <v>0</v>
      </c>
      <c r="O19" s="9">
        <f>IF(N19="","",IF($D19=0,0,N19/$D19))</f>
        <v>0</v>
      </c>
      <c r="P19" s="10">
        <v>0</v>
      </c>
      <c r="Q19" s="9">
        <f>IF(P19="","",IF($D19=0,0,P19/$D19))</f>
        <v>0</v>
      </c>
      <c r="R19" s="10">
        <v>0</v>
      </c>
      <c r="S19" s="9">
        <f>IF(R19="","",IF($D19=0,0,R19/$D19))</f>
        <v>0</v>
      </c>
      <c r="T19" s="10">
        <v>0</v>
      </c>
      <c r="U19" s="9">
        <f>IF(T19="","",IF($D19=0,0,T19/$D19))</f>
        <v>0</v>
      </c>
      <c r="V19" s="10">
        <v>0</v>
      </c>
      <c r="W19" s="9">
        <f>IF(V19="","",IF($D19=0,0,V19/$D19))</f>
        <v>0</v>
      </c>
      <c r="X19" s="10">
        <f>SUM(V19,T19,R19,P19)</f>
        <v>0</v>
      </c>
      <c r="Y19" s="9">
        <f>IF(X19="","",IF($D19=0,0,X19/$D19))</f>
        <v>0</v>
      </c>
    </row>
    <row r="20" spans="1:25">
      <c r="A20" s="32"/>
      <c r="B20" s="11" t="s">
        <v>23</v>
      </c>
      <c r="C20" s="7">
        <v>0</v>
      </c>
      <c r="D20" s="10">
        <f>SUM(F20,H20,J20,L20,N20)</f>
        <v>0</v>
      </c>
      <c r="E20" s="9" t="e">
        <f>IF(D20="","",D20/$C20)</f>
        <v>#DIV/0!</v>
      </c>
      <c r="F20" s="10">
        <v>0</v>
      </c>
      <c r="G20" s="9">
        <f>IF(F20="","",IF($D20=0,0,F20/$D20))</f>
        <v>0</v>
      </c>
      <c r="H20" s="10">
        <v>0</v>
      </c>
      <c r="I20" s="9">
        <f>IF(H20="","",IF($D20=0,0,H20/$D20))</f>
        <v>0</v>
      </c>
      <c r="J20" s="10">
        <v>0</v>
      </c>
      <c r="K20" s="9">
        <f>IF(J20="","",IF($D20=0,0,J20/$D20))</f>
        <v>0</v>
      </c>
      <c r="L20" s="10">
        <v>0</v>
      </c>
      <c r="M20" s="9">
        <f>IF(L20="","",IF($D20=0,0,L20/$D20))</f>
        <v>0</v>
      </c>
      <c r="N20" s="10">
        <v>0</v>
      </c>
      <c r="O20" s="9">
        <f>IF(N20="","",IF($D20=0,0,N20/$D20))</f>
        <v>0</v>
      </c>
      <c r="P20" s="10">
        <v>0</v>
      </c>
      <c r="Q20" s="9">
        <f>IF(P20="","",IF($D20=0,0,P20/$D20))</f>
        <v>0</v>
      </c>
      <c r="R20" s="10">
        <v>0</v>
      </c>
      <c r="S20" s="9">
        <f>IF(R20="","",IF($D20=0,0,R20/$D20))</f>
        <v>0</v>
      </c>
      <c r="T20" s="10">
        <v>0</v>
      </c>
      <c r="U20" s="9">
        <f>IF(T20="","",IF($D20=0,0,T20/$D20))</f>
        <v>0</v>
      </c>
      <c r="V20" s="10">
        <v>0</v>
      </c>
      <c r="W20" s="9">
        <f>IF(V20="","",IF($D20=0,0,V20/$D20))</f>
        <v>0</v>
      </c>
      <c r="X20" s="10">
        <f>SUM(V20,T20,R20,P20)</f>
        <v>0</v>
      </c>
      <c r="Y20" s="9">
        <f>IF(X20="","",IF($D20=0,0,X20/$D20))</f>
        <v>0</v>
      </c>
    </row>
    <row r="21" spans="1:25">
      <c r="A21" s="33"/>
      <c r="B21" s="12" t="s">
        <v>24</v>
      </c>
      <c r="C21" s="13">
        <f>IF($A$42="","",IF(C19="","",SUM(C19,C20)))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4" t="s">
        <v>28</v>
      </c>
      <c r="B22" s="11" t="s">
        <v>22</v>
      </c>
      <c r="C22" s="7">
        <v>0</v>
      </c>
      <c r="D22" s="10">
        <f>SUM(F22,H22,J22,L22,N22)</f>
        <v>0</v>
      </c>
      <c r="E22" s="9" t="e">
        <f>IF(D22="","",D22/$C22)</f>
        <v>#DIV/0!</v>
      </c>
      <c r="F22" s="10">
        <v>0</v>
      </c>
      <c r="G22" s="9">
        <f>IF(F22="","",IF($D22=0,0,F22/$D22))</f>
        <v>0</v>
      </c>
      <c r="H22" s="10">
        <v>0</v>
      </c>
      <c r="I22" s="9">
        <f>IF(H22="","",IF($D22=0,0,H22/$D22))</f>
        <v>0</v>
      </c>
      <c r="J22" s="10">
        <v>0</v>
      </c>
      <c r="K22" s="9">
        <f>IF(J22="","",IF($D22=0,0,J22/$D22))</f>
        <v>0</v>
      </c>
      <c r="L22" s="10">
        <v>0</v>
      </c>
      <c r="M22" s="9">
        <f>IF(L22="","",IF($D22=0,0,L22/$D22))</f>
        <v>0</v>
      </c>
      <c r="N22" s="10">
        <v>0</v>
      </c>
      <c r="O22" s="9">
        <f>IF(N22="","",IF($D22=0,0,N22/$D22))</f>
        <v>0</v>
      </c>
      <c r="P22" s="10">
        <v>0</v>
      </c>
      <c r="Q22" s="9">
        <f>IF(P22="","",IF($D22=0,0,P22/$D22))</f>
        <v>0</v>
      </c>
      <c r="R22" s="10">
        <v>0</v>
      </c>
      <c r="S22" s="9">
        <f>IF(R22="","",IF($D22=0,0,R22/$D22))</f>
        <v>0</v>
      </c>
      <c r="T22" s="10">
        <v>0</v>
      </c>
      <c r="U22" s="9">
        <f>IF(T22="","",IF($D22=0,0,T22/$D22))</f>
        <v>0</v>
      </c>
      <c r="V22" s="10">
        <v>0</v>
      </c>
      <c r="W22" s="9">
        <f>IF(V22="","",IF($D22=0,0,V22/$D22))</f>
        <v>0</v>
      </c>
      <c r="X22" s="10">
        <f>SUM(V22,T22,R22,P22)</f>
        <v>0</v>
      </c>
      <c r="Y22" s="9">
        <f>IF(X22="","",IF($D22=0,0,X22/$D22))</f>
        <v>0</v>
      </c>
    </row>
    <row r="23" spans="1:25">
      <c r="A23" s="32"/>
      <c r="B23" s="11" t="s">
        <v>23</v>
      </c>
      <c r="C23" s="7">
        <v>0</v>
      </c>
      <c r="D23" s="10">
        <f>SUM(F23,H23,J23,L23,N23)</f>
        <v>0</v>
      </c>
      <c r="E23" s="9" t="e">
        <f>IF(D23="","",D23/$C23)</f>
        <v>#DIV/0!</v>
      </c>
      <c r="F23" s="10">
        <v>0</v>
      </c>
      <c r="G23" s="9">
        <f>IF(F23="","",IF($D23=0,0,F23/$D23))</f>
        <v>0</v>
      </c>
      <c r="H23" s="10">
        <v>0</v>
      </c>
      <c r="I23" s="9">
        <f>IF(H23="","",IF($D23=0,0,H23/$D23))</f>
        <v>0</v>
      </c>
      <c r="J23" s="10">
        <v>0</v>
      </c>
      <c r="K23" s="9">
        <f>IF(J23="","",IF($D23=0,0,J23/$D23))</f>
        <v>0</v>
      </c>
      <c r="L23" s="10">
        <v>0</v>
      </c>
      <c r="M23" s="9">
        <f>IF(L23="","",IF($D23=0,0,L23/$D23))</f>
        <v>0</v>
      </c>
      <c r="N23" s="10">
        <v>0</v>
      </c>
      <c r="O23" s="9">
        <f>IF(N23="","",IF($D23=0,0,N23/$D23))</f>
        <v>0</v>
      </c>
      <c r="P23" s="10">
        <v>0</v>
      </c>
      <c r="Q23" s="9">
        <f>IF(P23="","",IF($D23=0,0,P23/$D23))</f>
        <v>0</v>
      </c>
      <c r="R23" s="10">
        <v>0</v>
      </c>
      <c r="S23" s="9">
        <f>IF(R23="","",IF($D23=0,0,R23/$D23))</f>
        <v>0</v>
      </c>
      <c r="T23" s="10">
        <v>0</v>
      </c>
      <c r="U23" s="9">
        <f>IF(T23="","",IF($D23=0,0,T23/$D23))</f>
        <v>0</v>
      </c>
      <c r="V23" s="10">
        <v>0</v>
      </c>
      <c r="W23" s="9">
        <f>IF(V23="","",IF($D23=0,0,V23/$D23))</f>
        <v>0</v>
      </c>
      <c r="X23" s="10">
        <f>SUM(V23,T23,R23,P23)</f>
        <v>0</v>
      </c>
      <c r="Y23" s="9">
        <f>IF(X23="","",IF($D23=0,0,X23/$D23))</f>
        <v>0</v>
      </c>
    </row>
    <row r="24" spans="1:25">
      <c r="A24" s="33"/>
      <c r="B24" s="12" t="s">
        <v>24</v>
      </c>
      <c r="C24" s="13">
        <f>IF($A$42="","",IF(C22="","",SUM(C22,C23)))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4" t="s">
        <v>29</v>
      </c>
      <c r="B25" s="11" t="s">
        <v>22</v>
      </c>
      <c r="C25" s="7">
        <v>1</v>
      </c>
      <c r="D25" s="10">
        <f>SUM(F25,H25,J25,L25,N25)</f>
        <v>1</v>
      </c>
      <c r="E25" s="9">
        <f>IF(D25="","",D25/$C25)</f>
        <v>1</v>
      </c>
      <c r="F25" s="10">
        <v>0</v>
      </c>
      <c r="G25" s="9">
        <f>IF(F25="","",IF($D25=0,0,F25/$D25))</f>
        <v>0</v>
      </c>
      <c r="H25" s="10">
        <v>0</v>
      </c>
      <c r="I25" s="9">
        <f>IF(H25="","",IF($D25=0,0,H25/$D25))</f>
        <v>0</v>
      </c>
      <c r="J25" s="10">
        <v>1</v>
      </c>
      <c r="K25" s="9">
        <f>IF(J25="","",IF($D25=0,0,J25/$D25))</f>
        <v>1</v>
      </c>
      <c r="L25" s="10">
        <v>0</v>
      </c>
      <c r="M25" s="9">
        <f>IF(L25="","",IF($D25=0,0,L25/$D25))</f>
        <v>0</v>
      </c>
      <c r="N25" s="10">
        <v>0</v>
      </c>
      <c r="O25" s="9">
        <f>IF(N25="","",IF($D25=0,0,N25/$D25))</f>
        <v>0</v>
      </c>
      <c r="P25" s="10">
        <v>0</v>
      </c>
      <c r="Q25" s="9">
        <f>IF(P25="","",IF($D25=0,0,P25/$D25))</f>
        <v>0</v>
      </c>
      <c r="R25" s="10">
        <v>0</v>
      </c>
      <c r="S25" s="9">
        <f>IF(R25="","",IF($D25=0,0,R25/$D25))</f>
        <v>0</v>
      </c>
      <c r="T25" s="10">
        <v>1</v>
      </c>
      <c r="U25" s="9">
        <f>IF(T25="","",IF($D25=0,0,T25/$D25))</f>
        <v>1</v>
      </c>
      <c r="V25" s="10">
        <v>0</v>
      </c>
      <c r="W25" s="9">
        <f>IF(V25="","",IF($D25=0,0,V25/$D25))</f>
        <v>0</v>
      </c>
      <c r="X25" s="10">
        <f>SUM(V25,T25,R25,P25)</f>
        <v>1</v>
      </c>
      <c r="Y25" s="9">
        <f>IF(X25="","",IF($D25=0,0,X25/$D25))</f>
        <v>1</v>
      </c>
    </row>
    <row r="26" spans="1:25">
      <c r="A26" s="32"/>
      <c r="B26" s="11" t="s">
        <v>23</v>
      </c>
      <c r="C26" s="7">
        <v>1</v>
      </c>
      <c r="D26" s="10">
        <f>SUM(F26,H26,J26,L26,N26)</f>
        <v>1</v>
      </c>
      <c r="E26" s="9">
        <f>IF(D26="","",D26/$C26)</f>
        <v>1</v>
      </c>
      <c r="F26" s="10">
        <v>0</v>
      </c>
      <c r="G26" s="9">
        <f>IF(F26="","",IF($D26=0,0,F26/$D26))</f>
        <v>0</v>
      </c>
      <c r="H26" s="10">
        <v>0</v>
      </c>
      <c r="I26" s="9">
        <f>IF(H26="","",IF($D26=0,0,H26/$D26))</f>
        <v>0</v>
      </c>
      <c r="J26" s="10">
        <v>0</v>
      </c>
      <c r="K26" s="9">
        <f>IF(J26="","",IF($D26=0,0,J26/$D26))</f>
        <v>0</v>
      </c>
      <c r="L26" s="10">
        <v>1</v>
      </c>
      <c r="M26" s="9">
        <f>IF(L26="","",IF($D26=0,0,L26/$D26))</f>
        <v>1</v>
      </c>
      <c r="N26" s="10">
        <v>0</v>
      </c>
      <c r="O26" s="9">
        <f>IF(N26="","",IF($D26=0,0,N26/$D26))</f>
        <v>0</v>
      </c>
      <c r="P26" s="10">
        <v>0</v>
      </c>
      <c r="Q26" s="9">
        <f>IF(P26="","",IF($D26=0,0,P26/$D26))</f>
        <v>0</v>
      </c>
      <c r="R26" s="10">
        <v>1</v>
      </c>
      <c r="S26" s="9">
        <f>IF(R26="","",IF($D26=0,0,R26/$D26))</f>
        <v>1</v>
      </c>
      <c r="T26" s="10">
        <v>0</v>
      </c>
      <c r="U26" s="9">
        <f>IF(T26="","",IF($D26=0,0,T26/$D26))</f>
        <v>0</v>
      </c>
      <c r="V26" s="10">
        <v>0</v>
      </c>
      <c r="W26" s="9">
        <f>IF(V26="","",IF($D26=0,0,V26/$D26))</f>
        <v>0</v>
      </c>
      <c r="X26" s="10">
        <f>SUM(V26,T26,R26,P26)</f>
        <v>1</v>
      </c>
      <c r="Y26" s="9">
        <f>IF(X26="","",IF($D26=0,0,X26/$D26))</f>
        <v>1</v>
      </c>
    </row>
    <row r="27" spans="1:25" customHeight="1" ht="15">
      <c r="A27" s="33"/>
      <c r="B27" s="16" t="s">
        <v>24</v>
      </c>
      <c r="C27" s="17">
        <f>IF($A$42="","",IF(C25="","",SUM(C25,C26)))</f>
        <v>2</v>
      </c>
      <c r="D27" s="14">
        <f>SUM(D25:D26)</f>
        <v>2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1</v>
      </c>
      <c r="K27" s="15">
        <f>IF(J27="","",IF($D27=0,0,J27/$D27))</f>
        <v>0.5</v>
      </c>
      <c r="L27" s="14">
        <f>SUM(L25:L26)</f>
        <v>1</v>
      </c>
      <c r="M27" s="15">
        <f>IF(L27="","",IF($D27=0,0,L27/$D27))</f>
        <v>0.5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1</v>
      </c>
      <c r="S27" s="15">
        <f>IF(R27="","",IF($D27=0,0,R27/$D27))</f>
        <v>0.5</v>
      </c>
      <c r="T27" s="14">
        <f>SUM(T25:T26)</f>
        <v>1</v>
      </c>
      <c r="U27" s="15">
        <f>IF(T27="","",IF($D27=0,0,T27/$D27))</f>
        <v>0.5</v>
      </c>
      <c r="V27" s="14">
        <f>SUM(V25:V26)</f>
        <v>0</v>
      </c>
      <c r="W27" s="15">
        <f>IF(V27="","",IF($D27=0,0,V27/$D27))</f>
        <v>0</v>
      </c>
      <c r="X27" s="14">
        <f>SUM(X25:X26)</f>
        <v>2</v>
      </c>
      <c r="Y27" s="15">
        <f>IF(X27="","",IF($D27=0,0,X27/$D27))</f>
        <v>1</v>
      </c>
    </row>
    <row r="28" spans="1:25">
      <c r="A28" s="28" t="s">
        <v>30</v>
      </c>
      <c r="B28" s="18" t="s">
        <v>22</v>
      </c>
      <c r="C28" s="7">
        <f>SUM(C25,C22,C19,C16,C13,C10,C11)</f>
        <v>1</v>
      </c>
      <c r="D28" s="19">
        <f>IF($C$28="","",SUMIF($B$10:$B$27,"m",D$10:D$27))</f>
        <v>1</v>
      </c>
      <c r="E28" s="20">
        <f>IF(D28="","",D28/$C28)</f>
        <v>1</v>
      </c>
      <c r="F28" s="19">
        <f>IF($C$28="","",SUMIF($B$10:$B$27,"m",F$10:F$27))</f>
        <v>0</v>
      </c>
      <c r="G28" s="20">
        <f>IF(F28="","",IF($D28=0,0,F28/$D28))</f>
        <v>0</v>
      </c>
      <c r="H28" s="19">
        <f>IF($C$28="","",SUMIF($B$10:$B$27,"m",H$10:H$27))</f>
        <v>0</v>
      </c>
      <c r="I28" s="20">
        <f>IF(H28="","",IF($D28=0,0,H28/$D28))</f>
        <v>0</v>
      </c>
      <c r="J28" s="19">
        <f>IF($C$28="","",SUMIF($B$10:$B$27,"m",J$10:J$27))</f>
        <v>1</v>
      </c>
      <c r="K28" s="20">
        <f>IF(J28="","",IF($D28=0,0,J28/$D28))</f>
        <v>1</v>
      </c>
      <c r="L28" s="19">
        <f>IF($C$28="","",SUMIF($B$10:$B$27,"m",L$10:L$27))</f>
        <v>0</v>
      </c>
      <c r="M28" s="20">
        <f>IF(L28="","",IF($D28=0,0,L28/$D28))</f>
        <v>0</v>
      </c>
      <c r="N28" s="19">
        <f>IF($C$28="","",SUMIF($B$10:$B$27,"m",N$10:N$27))</f>
        <v>0</v>
      </c>
      <c r="O28" s="20">
        <f>IF(N28="","",IF($D28=0,0,N28/$D28))</f>
        <v>0</v>
      </c>
      <c r="P28" s="19">
        <f>IF($C$28="","",SUMIF($B$10:$B$27,"m",P$10:P$27))</f>
        <v>0</v>
      </c>
      <c r="Q28" s="20">
        <f>IF(P28="","",IF($D28=0,0,P28/$D28))</f>
        <v>0</v>
      </c>
      <c r="R28" s="19">
        <f>IF($C$28="","",SUMIF($B$10:$B$27,"m",R$10:R$27))</f>
        <v>0</v>
      </c>
      <c r="S28" s="20">
        <f>IF(R28="","",IF($D28=0,0,R28/$D28))</f>
        <v>0</v>
      </c>
      <c r="T28" s="19">
        <f>IF($C$28="","",SUMIF($B$10:$B$27,"m",T$10:T$27))</f>
        <v>1</v>
      </c>
      <c r="U28" s="20">
        <f>IF(T28="","",IF($D28=0,0,T28/$D28))</f>
        <v>1</v>
      </c>
      <c r="V28" s="19">
        <f>IF($C$28="","",SUMIF($B$10:$B$27,"m",V$10:V$27))</f>
        <v>0</v>
      </c>
      <c r="W28" s="20">
        <f>IF(V28="","",IF($D28=0,0,V28/$D28))</f>
        <v>0</v>
      </c>
      <c r="X28" s="19">
        <f>IF($C$28="","",SUMIF($B$10:$B$27,"m",X$10:X$27))</f>
        <v>1</v>
      </c>
      <c r="Y28" s="20">
        <f>IF(X28="","",IF($D28=0,0,X28/$D28))</f>
        <v>1</v>
      </c>
    </row>
    <row r="29" spans="1:25">
      <c r="A29" s="29"/>
      <c r="B29" s="11" t="s">
        <v>23</v>
      </c>
      <c r="C29" s="7">
        <f>SUM(C26,C23,C20,C17,C14,C11,C12)</f>
        <v>1</v>
      </c>
      <c r="D29" s="21">
        <f>IF($C$29="","",SUMIF($B$10:$B$27,"f",D$10:D$27))</f>
        <v>1</v>
      </c>
      <c r="E29" s="9">
        <f>IF(D29="","",D29/$C29)</f>
        <v>1</v>
      </c>
      <c r="F29" s="21">
        <f>IF($C$29="","",SUMIF($B$10:$B$27,"f",F$10:F$27))</f>
        <v>0</v>
      </c>
      <c r="G29" s="9">
        <f>IF(F29="","",IF($D29=0,0,F29/$D29))</f>
        <v>0</v>
      </c>
      <c r="H29" s="21">
        <f>IF($C$29="","",SUMIF($B$10:$B$27,"f",H$10:H$27))</f>
        <v>0</v>
      </c>
      <c r="I29" s="9">
        <f>IF(H29="","",IF($D29=0,0,H29/$D29))</f>
        <v>0</v>
      </c>
      <c r="J29" s="21">
        <f>IF($C$29="","",SUMIF($B$10:$B$27,"f",J$10:J$27))</f>
        <v>0</v>
      </c>
      <c r="K29" s="9">
        <f>IF(J29="","",IF($D29=0,0,J29/$D29))</f>
        <v>0</v>
      </c>
      <c r="L29" s="21">
        <f>IF($C$29="","",SUMIF($B$10:$B$27,"f",L$10:L$27))</f>
        <v>1</v>
      </c>
      <c r="M29" s="9">
        <f>IF(L29="","",IF($D29=0,0,L29/$D29))</f>
        <v>1</v>
      </c>
      <c r="N29" s="21">
        <f>IF($C$29="","",SUMIF($B$10:$B$27,"f",N$10:N$27))</f>
        <v>0</v>
      </c>
      <c r="O29" s="9">
        <f>IF(N29="","",IF($D29=0,0,N29/$D29))</f>
        <v>0</v>
      </c>
      <c r="P29" s="21">
        <f>IF($C$29="","",SUMIF($B$10:$B$27,"f",P$10:P$27))</f>
        <v>0</v>
      </c>
      <c r="Q29" s="9">
        <f>IF(P29="","",IF($D29=0,0,P29/$D29))</f>
        <v>0</v>
      </c>
      <c r="R29" s="21">
        <f>IF($C$29="","",SUMIF($B$10:$B$27,"f",R$10:R$27))</f>
        <v>1</v>
      </c>
      <c r="S29" s="9">
        <f>IF(R29="","",IF($D29=0,0,R29/$D29))</f>
        <v>1</v>
      </c>
      <c r="T29" s="21">
        <f>IF($C$29="","",SUMIF($B$10:$B$27,"f",T$10:T$27))</f>
        <v>0</v>
      </c>
      <c r="U29" s="9">
        <f>IF(T29="","",IF($D29=0,0,T29/$D29))</f>
        <v>0</v>
      </c>
      <c r="V29" s="21">
        <f>IF($C$29="","",SUMIF($B$10:$B$27,"f",V$10:V$27))</f>
        <v>0</v>
      </c>
      <c r="W29" s="9">
        <f>IF(V29="","",IF($D29=0,0,V29/$D29))</f>
        <v>0</v>
      </c>
      <c r="X29" s="21">
        <f>IF($C$29="","",SUMIF($B$10:$B$27,"f",X$10:X$27))</f>
        <v>1</v>
      </c>
      <c r="Y29" s="9">
        <f>IF(X29="","",IF($D29=0,0,X29/$D29))</f>
        <v>1</v>
      </c>
    </row>
    <row r="30" spans="1:25" customHeight="1" ht="15">
      <c r="A30" s="30"/>
      <c r="B30" s="22" t="s">
        <v>24</v>
      </c>
      <c r="C30" s="23">
        <f>IF($A$42="","",IF(SUM(C10:C27)=0,"",SUMIF($B$10:$B$27,"Total",C$10:C$27)))</f>
        <v>2</v>
      </c>
      <c r="D30" s="24">
        <f>IF($C$30="","",SUMIF($B$10:$B$27,"total",D$10:D$27))</f>
        <v>2</v>
      </c>
      <c r="E30" s="25">
        <f>IF(D30="","",D30/$C30)</f>
        <v>1</v>
      </c>
      <c r="F30" s="24">
        <f>IF($C$30="","",SUMIF($B$10:$B$27,"total",F$10:F$27))</f>
        <v>0</v>
      </c>
      <c r="G30" s="25">
        <f>IF(F30="","",IF($D30=0,0,F30/$D30))</f>
        <v>0</v>
      </c>
      <c r="H30" s="24">
        <f>IF($C$30="","",SUMIF($B$10:$B$27,"total",H$10:H$27))</f>
        <v>0</v>
      </c>
      <c r="I30" s="25">
        <f>IF(H30="","",IF($D30=0,0,H30/$D30))</f>
        <v>0</v>
      </c>
      <c r="J30" s="24">
        <f>IF($C$30="","",SUMIF($B$10:$B$27,"total",J$10:J$27))</f>
        <v>1</v>
      </c>
      <c r="K30" s="25">
        <f>IF(J30="","",IF($D30=0,0,J30/$D30))</f>
        <v>0.5</v>
      </c>
      <c r="L30" s="24">
        <f>IF($C$30="","",SUMIF($B$10:$B$27,"total",L$10:L$27))</f>
        <v>1</v>
      </c>
      <c r="M30" s="25">
        <f>IF(L30="","",IF($D30=0,0,L30/$D30))</f>
        <v>0.5</v>
      </c>
      <c r="N30" s="24">
        <f>IF($C$30="","",SUMIF($B$10:$B$27,"total",N$10:N$27))</f>
        <v>0</v>
      </c>
      <c r="O30" s="25">
        <f>IF(N30="","",IF($D30=0,0,N30/$D30))</f>
        <v>0</v>
      </c>
      <c r="P30" s="24">
        <f>IF($C$30="","",SUMIF($B$10:$B$27,"total",P$10:P$27))</f>
        <v>0</v>
      </c>
      <c r="Q30" s="25">
        <f>IF(P30="","",IF($D30=0,0,P30/$D30))</f>
        <v>0</v>
      </c>
      <c r="R30" s="24">
        <f>IF($C$30="","",SUMIF($B$10:$B$27,"total",R$10:R$27))</f>
        <v>1</v>
      </c>
      <c r="S30" s="25">
        <f>IF(R30="","",IF($D30=0,0,R30/$D30))</f>
        <v>0.5</v>
      </c>
      <c r="T30" s="24">
        <f>IF($C$30="","",SUMIF($B$10:$B$27,"total",T$10:T$27))</f>
        <v>1</v>
      </c>
      <c r="U30" s="25">
        <f>IF(T30="","",IF($D30=0,0,T30/$D30))</f>
        <v>0.5</v>
      </c>
      <c r="V30" s="24">
        <f>IF($C$30="","",SUMIF($B$10:$B$27,"total",V$10:V$27))</f>
        <v>0</v>
      </c>
      <c r="W30" s="25">
        <f>IF(V30="","",IF($D30=0,0,V30/$D30))</f>
        <v>0</v>
      </c>
      <c r="X30" s="24">
        <f>IF($C$30="","",SUMIF($B$10:$B$27,"total",X$10:X$27))</f>
        <v>2</v>
      </c>
      <c r="Y30" s="25">
        <f>IF(X30="","",IF($D30=0,0,X30/$D30))</f>
        <v>1</v>
      </c>
    </row>
    <row r="31" spans="1: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>
      <c r="A42" s="27" t="s">
        <v>31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hyperlinks>
    <hyperlink ref="A4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2026-01-22T07:25:59+00:00</dcterms:modified>
  <dc:title/>
  <dc:description/>
  <dc:subject/>
  <cp:keywords/>
  <cp:category/>
</cp:coreProperties>
</file>