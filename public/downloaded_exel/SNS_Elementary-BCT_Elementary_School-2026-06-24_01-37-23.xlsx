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<sst xmlns="http://schemas.openxmlformats.org/spreadsheetml/2006/main" uniqueCount="39">
  <si>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</si>
  <si>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</si>
  <si>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</si>
  <si>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BCT ELEMENTARY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</si>
  <si>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</si>
  <si>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</si>
  <si>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</si>
  <si>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</si>
  <si>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</si>
  <si>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</si>
  <si>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</si>
  <si>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</si>
  <si>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</si>
  <si>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</si>
  <si>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</si>
  <si>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</si>
  <si>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</si>
  <si>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</si>
  <si>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</si>
  <si>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</si>
  <si>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</si>
  <si>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</si>
  <si>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</si>
  <si>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</si>
  <si>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</si>
  <si>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</si>
  <si>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</si>
  <si>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</si>
  <si>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</si>
  <si>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</si>
  <si>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</si>
  <si>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</si>
  <si>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</si>
  <si>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</si>
  <si>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</si>
  <si>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Roberto Tupaz Jr.</t>
  </si>
  <si>
    <t>Don Freecs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</si>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</sst>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120</v>
      </c>
      <c r="D10" s="18">
        <f>SUM(F10,H10,J10,L10,N10)</f>
        <v>120</v>
      </c>
      <c r="E10" s="9">
        <f>D10/$C10</f>
        <v>1</v>
      </c>
      <c r="F10" s="8">
        <v>24</v>
      </c>
      <c r="G10" s="9">
        <f>IF(F10="","",IF($D10=0,0,F10/$D10))</f>
        <v>0.2</v>
      </c>
      <c r="H10" s="8">
        <v>22</v>
      </c>
      <c r="I10" s="9">
        <f>IF(H10="","",IF($D10=0,0,H10/$D10))</f>
        <v>0.18333333333333</v>
      </c>
      <c r="J10" s="8">
        <v>21</v>
      </c>
      <c r="K10" s="9">
        <f>IF(J10="","",IF($D10=0,0,J10/$D10))</f>
        <v>0.175</v>
      </c>
      <c r="L10" s="8">
        <v>24</v>
      </c>
      <c r="M10" s="9">
        <f>IF(L10="","",IF($D10=0,0,L10/$D10))</f>
        <v>0.2</v>
      </c>
      <c r="N10" s="8">
        <v>29</v>
      </c>
      <c r="O10" s="9">
        <f>IF(N10="","",IF($D10=0,0,N10/$D10))</f>
        <v>0.24166666666667</v>
      </c>
      <c r="P10" s="8">
        <v>31</v>
      </c>
      <c r="Q10" s="9">
        <f>IF(P10="","",IF($D10=0,0,P10/$D10))</f>
        <v>0.25833333333333</v>
      </c>
      <c r="R10" s="8">
        <v>24</v>
      </c>
      <c r="S10" s="9">
        <f>IF(R10="","",IF($D10=0,0,R10/$D10))</f>
        <v>0.2</v>
      </c>
      <c r="T10" s="8">
        <v>30</v>
      </c>
      <c r="U10" s="9">
        <f>IF(T10="","",IF($D10=0,0,T10/$D10))</f>
        <v>0.25</v>
      </c>
      <c r="V10" s="8">
        <v>35</v>
      </c>
      <c r="W10" s="9">
        <f>IF(V10="","",IF($D10=0,0,V10/$D10))</f>
        <v>0.29166666666667</v>
      </c>
      <c r="X10" s="11">
        <f>SUM(V10,T10,R10,P10)</f>
        <v>120</v>
      </c>
      <c r="Y10" s="9">
        <f>X10/$C10</f>
        <v>1</v>
      </c>
    </row>
    <row r="11" spans="1:25">
      <c r="A11" s="51"/>
      <c r="B11" s="10" t="s">
        <v>23</v>
      </c>
      <c r="C11" s="7">
        <v>87</v>
      </c>
      <c r="D11" s="19">
        <f>SUM(F11,H11,J11,L11,N11)</f>
        <v>87</v>
      </c>
      <c r="E11" s="9">
        <f>D11/$C11</f>
        <v>1</v>
      </c>
      <c r="F11" s="11">
        <v>14</v>
      </c>
      <c r="G11" s="9">
        <f>IF(F11="","",IF($D11=0,0,F11/$D11))</f>
        <v>0.16091954022989</v>
      </c>
      <c r="H11" s="11">
        <v>20</v>
      </c>
      <c r="I11" s="9">
        <f>IF(H11="","",IF($D11=0,0,H11/$D11))</f>
        <v>0.22988505747126</v>
      </c>
      <c r="J11" s="11">
        <v>17</v>
      </c>
      <c r="K11" s="9">
        <f>IF(J11="","",IF($D11=0,0,J11/$D11))</f>
        <v>0.19540229885057</v>
      </c>
      <c r="L11" s="11">
        <v>20</v>
      </c>
      <c r="M11" s="9">
        <f>IF(L11="","",IF($D11=0,0,L11/$D11))</f>
        <v>0.22988505747126</v>
      </c>
      <c r="N11" s="11">
        <v>16</v>
      </c>
      <c r="O11" s="9">
        <f>IF(N11="","",IF($D11=0,0,N11/$D11))</f>
        <v>0.18390804597701</v>
      </c>
      <c r="P11" s="11">
        <v>20</v>
      </c>
      <c r="Q11" s="9">
        <f>IF(P11="","",IF($D11=0,0,P11/$D11))</f>
        <v>0.22988505747126</v>
      </c>
      <c r="R11" s="11">
        <v>20</v>
      </c>
      <c r="S11" s="9">
        <f>IF(R11="","",IF($D11=0,0,R11/$D11))</f>
        <v>0.22988505747126</v>
      </c>
      <c r="T11" s="11">
        <v>19</v>
      </c>
      <c r="U11" s="9">
        <f>IF(T11="","",IF($D11=0,0,T11/$D11))</f>
        <v>0.2183908045977</v>
      </c>
      <c r="V11" s="11">
        <v>28</v>
      </c>
      <c r="W11" s="9">
        <f>IF(V11="","",IF($D11=0,0,V11/$D11))</f>
        <v>0.32183908045977</v>
      </c>
      <c r="X11" s="11">
        <f>SUM(V11,T11,R11,P11)</f>
        <v>87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207</v>
      </c>
      <c r="D12" s="14">
        <f>SUM(D10:D11)</f>
        <v>207</v>
      </c>
      <c r="E12" s="9">
        <f>D12/$C12</f>
        <v>1</v>
      </c>
      <c r="F12" s="14">
        <f>SUM(F10:F11)</f>
        <v>38</v>
      </c>
      <c r="G12" s="15">
        <f>IF(F12="","",IF($D12=0,0,F12/$D12))</f>
        <v>0.18357487922705</v>
      </c>
      <c r="H12" s="14">
        <f>SUM(H10:H11)</f>
        <v>42</v>
      </c>
      <c r="I12" s="15">
        <f>IF(H12="","",IF($D12=0,0,H12/$D12))</f>
        <v>0.20289855072464</v>
      </c>
      <c r="J12" s="14">
        <f>SUM(J10:J11)</f>
        <v>38</v>
      </c>
      <c r="K12" s="15">
        <f>IF(J12="","",IF($D12=0,0,J12/$D12))</f>
        <v>0.18357487922705</v>
      </c>
      <c r="L12" s="14">
        <f>SUM(L10:L11)</f>
        <v>44</v>
      </c>
      <c r="M12" s="15">
        <f>IF(L12="","",IF($D12=0,0,L12/$D12))</f>
        <v>0.21256038647343</v>
      </c>
      <c r="N12" s="14">
        <f>SUM(N10:N11)</f>
        <v>45</v>
      </c>
      <c r="O12" s="15">
        <f>IF(N12="","",IF($D12=0,0,N12/$D12))</f>
        <v>0.21739130434783</v>
      </c>
      <c r="P12" s="14">
        <f>SUM(P10:P11)</f>
        <v>51</v>
      </c>
      <c r="Q12" s="15">
        <f>IF(P12="","",IF($D12=0,0,P12/$D12))</f>
        <v>0.2463768115942</v>
      </c>
      <c r="R12" s="14">
        <f>SUM(R10:R11)</f>
        <v>44</v>
      </c>
      <c r="S12" s="15">
        <f>IF(R12="","",IF($D12=0,0,R12/$D12))</f>
        <v>0.21256038647343</v>
      </c>
      <c r="T12" s="14">
        <f>SUM(T10:T11)</f>
        <v>49</v>
      </c>
      <c r="U12" s="15">
        <f>IF(T12="","",IF($D12=0,0,T12/$D12))</f>
        <v>0.23671497584541</v>
      </c>
      <c r="V12" s="14">
        <f>SUM(V10:V11)</f>
        <v>63</v>
      </c>
      <c r="W12" s="15">
        <f>IF(V12="","",IF($D12=0,0,V12/$D12))</f>
        <v>0.30434782608696</v>
      </c>
      <c r="X12" s="14">
        <f>SUM(X10:X11)</f>
        <v>207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121</v>
      </c>
      <c r="D13" s="19">
        <f>SUM(F13,H13,J13,L13,N13)</f>
        <v>121</v>
      </c>
      <c r="E13" s="9">
        <f>D13/$C13</f>
        <v>1</v>
      </c>
      <c r="F13" s="11">
        <v>16</v>
      </c>
      <c r="G13" s="9">
        <f>IF(F13="","",IF($D13=0,0,F13/$D13))</f>
        <v>0.13223140495868</v>
      </c>
      <c r="H13" s="11">
        <v>25</v>
      </c>
      <c r="I13" s="9">
        <f>IF(H13="","",IF($D13=0,0,H13/$D13))</f>
        <v>0.20661157024793</v>
      </c>
      <c r="J13" s="11">
        <v>39</v>
      </c>
      <c r="K13" s="9">
        <f>IF(J13="","",IF($D13=0,0,J13/$D13))</f>
        <v>0.32231404958678</v>
      </c>
      <c r="L13" s="11">
        <v>23</v>
      </c>
      <c r="M13" s="9">
        <f>IF(L13="","",IF($D13=0,0,L13/$D13))</f>
        <v>0.1900826446281</v>
      </c>
      <c r="N13" s="11">
        <v>18</v>
      </c>
      <c r="O13" s="9">
        <f>IF(N13="","",IF($D13=0,0,N13/$D13))</f>
        <v>0.14876033057851</v>
      </c>
      <c r="P13" s="11">
        <v>28</v>
      </c>
      <c r="Q13" s="9">
        <f>IF(P13="","",IF($D13=0,0,P13/$D13))</f>
        <v>0.23140495867769</v>
      </c>
      <c r="R13" s="11">
        <v>30</v>
      </c>
      <c r="S13" s="9">
        <f>IF(R13="","",IF($D13=0,0,R13/$D13))</f>
        <v>0.24793388429752</v>
      </c>
      <c r="T13" s="11">
        <v>44</v>
      </c>
      <c r="U13" s="9">
        <f>IF(T13="","",IF($D13=0,0,T13/$D13))</f>
        <v>0.36363636363636</v>
      </c>
      <c r="V13" s="11">
        <v>19</v>
      </c>
      <c r="W13" s="9">
        <f>IF(V13="","",IF($D13=0,0,V13/$D13))</f>
        <v>0.15702479338843</v>
      </c>
      <c r="X13" s="11">
        <f>SUM(V13,T13,R13,P13)</f>
        <v>121</v>
      </c>
      <c r="Y13" s="9">
        <f>X13/$C13</f>
        <v>1</v>
      </c>
    </row>
    <row r="14" spans="1:25">
      <c r="A14" s="51"/>
      <c r="B14" s="10" t="s">
        <v>23</v>
      </c>
      <c r="C14" s="7">
        <v>137</v>
      </c>
      <c r="D14" s="19">
        <f>SUM(F14,H14,J14,L14,N14)</f>
        <v>137</v>
      </c>
      <c r="E14" s="9">
        <f>D14/$C14</f>
        <v>1</v>
      </c>
      <c r="F14" s="11">
        <v>26</v>
      </c>
      <c r="G14" s="9">
        <f>IF(F14="","",IF($D14=0,0,F14/$D14))</f>
        <v>0.18978102189781</v>
      </c>
      <c r="H14" s="11">
        <v>22</v>
      </c>
      <c r="I14" s="9">
        <f>IF(H14="","",IF($D14=0,0,H14/$D14))</f>
        <v>0.16058394160584</v>
      </c>
      <c r="J14" s="11">
        <v>33</v>
      </c>
      <c r="K14" s="9">
        <f>IF(J14="","",IF($D14=0,0,J14/$D14))</f>
        <v>0.24087591240876</v>
      </c>
      <c r="L14" s="11">
        <v>28</v>
      </c>
      <c r="M14" s="9">
        <f>IF(L14="","",IF($D14=0,0,L14/$D14))</f>
        <v>0.2043795620438</v>
      </c>
      <c r="N14" s="11">
        <v>28</v>
      </c>
      <c r="O14" s="9">
        <f>IF(N14="","",IF($D14=0,0,N14/$D14))</f>
        <v>0.2043795620438</v>
      </c>
      <c r="P14" s="11">
        <v>39</v>
      </c>
      <c r="Q14" s="9">
        <f>IF(P14="","",IF($D14=0,0,P14/$D14))</f>
        <v>0.28467153284672</v>
      </c>
      <c r="R14" s="11">
        <v>24</v>
      </c>
      <c r="S14" s="9">
        <f>IF(R14="","",IF($D14=0,0,R14/$D14))</f>
        <v>0.17518248175182</v>
      </c>
      <c r="T14" s="11">
        <v>41</v>
      </c>
      <c r="U14" s="9">
        <f>IF(T14="","",IF($D14=0,0,T14/$D14))</f>
        <v>0.2992700729927</v>
      </c>
      <c r="V14" s="11">
        <v>33</v>
      </c>
      <c r="W14" s="9">
        <f>IF(V14="","",IF($D14=0,0,V14/$D14))</f>
        <v>0.24087591240876</v>
      </c>
      <c r="X14" s="11">
        <f>SUM(V14,T14,R14,P14)</f>
        <v>137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258</v>
      </c>
      <c r="D15" s="14">
        <f>SUM(D13:D14)</f>
        <v>258</v>
      </c>
      <c r="E15" s="9">
        <f>D15/$C15</f>
        <v>1</v>
      </c>
      <c r="F15" s="14">
        <f>SUM(F13:F14)</f>
        <v>42</v>
      </c>
      <c r="G15" s="15">
        <f>IF(F15="","",IF($D15=0,0,F15/$D15))</f>
        <v>0.16279069767442</v>
      </c>
      <c r="H15" s="14">
        <f>SUM(H13:H14)</f>
        <v>47</v>
      </c>
      <c r="I15" s="15">
        <f>IF(H15="","",IF($D15=0,0,H15/$D15))</f>
        <v>0.18217054263566</v>
      </c>
      <c r="J15" s="14">
        <f>SUM(J13:J14)</f>
        <v>72</v>
      </c>
      <c r="K15" s="15">
        <f>IF(J15="","",IF($D15=0,0,J15/$D15))</f>
        <v>0.27906976744186</v>
      </c>
      <c r="L15" s="14">
        <f>SUM(L13:L14)</f>
        <v>51</v>
      </c>
      <c r="M15" s="15">
        <f>IF(L15="","",IF($D15=0,0,L15/$D15))</f>
        <v>0.19767441860465</v>
      </c>
      <c r="N15" s="14">
        <f>SUM(N13:N14)</f>
        <v>46</v>
      </c>
      <c r="O15" s="15">
        <f>IF(N15="","",IF($D15=0,0,N15/$D15))</f>
        <v>0.17829457364341</v>
      </c>
      <c r="P15" s="14">
        <f>SUM(P13:P14)</f>
        <v>67</v>
      </c>
      <c r="Q15" s="15">
        <f>IF(P15="","",IF($D15=0,0,P15/$D15))</f>
        <v>0.25968992248062</v>
      </c>
      <c r="R15" s="14">
        <f>SUM(R13:R14)</f>
        <v>54</v>
      </c>
      <c r="S15" s="15">
        <f>IF(R15="","",IF($D15=0,0,R15/$D15))</f>
        <v>0.2093023255814</v>
      </c>
      <c r="T15" s="14">
        <f>SUM(T13:T14)</f>
        <v>85</v>
      </c>
      <c r="U15" s="15">
        <f>IF(T15="","",IF($D15=0,0,T15/$D15))</f>
        <v>0.32945736434109</v>
      </c>
      <c r="V15" s="14">
        <f>SUM(V13:V14)</f>
        <v>52</v>
      </c>
      <c r="W15" s="15">
        <f>IF(V15="","",IF($D15=0,0,V15/$D15))</f>
        <v>0.2015503875969</v>
      </c>
      <c r="X15" s="14">
        <f>SUM(X13:X14)</f>
        <v>258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133</v>
      </c>
      <c r="D16" s="19">
        <f>SUM(F16,H16,J16,L16,N16)</f>
        <v>133</v>
      </c>
      <c r="E16" s="9">
        <f>D16/$C16</f>
        <v>1</v>
      </c>
      <c r="F16" s="11">
        <v>21</v>
      </c>
      <c r="G16" s="9">
        <f>IF(F16="","",IF($D16=0,0,F16/$D16))</f>
        <v>0.15789473684211</v>
      </c>
      <c r="H16" s="11">
        <v>27</v>
      </c>
      <c r="I16" s="9">
        <f>IF(H16="","",IF($D16=0,0,H16/$D16))</f>
        <v>0.20300751879699</v>
      </c>
      <c r="J16" s="11">
        <v>23</v>
      </c>
      <c r="K16" s="9">
        <f>IF(J16="","",IF($D16=0,0,J16/$D16))</f>
        <v>0.17293233082707</v>
      </c>
      <c r="L16" s="11">
        <v>26</v>
      </c>
      <c r="M16" s="9">
        <f>IF(L16="","",IF($D16=0,0,L16/$D16))</f>
        <v>0.19548872180451</v>
      </c>
      <c r="N16" s="11">
        <v>36</v>
      </c>
      <c r="O16" s="9">
        <f>IF(N16="","",IF($D16=0,0,N16/$D16))</f>
        <v>0.27067669172932</v>
      </c>
      <c r="P16" s="11">
        <v>35</v>
      </c>
      <c r="Q16" s="9">
        <f>IF(P16="","",IF($D16=0,0,P16/$D16))</f>
        <v>0.26315789473684</v>
      </c>
      <c r="R16" s="11">
        <v>37</v>
      </c>
      <c r="S16" s="9">
        <f>IF(R16="","",IF($D16=0,0,R16/$D16))</f>
        <v>0.2781954887218</v>
      </c>
      <c r="T16" s="11">
        <v>34</v>
      </c>
      <c r="U16" s="9">
        <f>IF(T16="","",IF($D16=0,0,T16/$D16))</f>
        <v>0.25563909774436</v>
      </c>
      <c r="V16" s="11">
        <v>27</v>
      </c>
      <c r="W16" s="9">
        <f>IF(V16="","",IF($D16=0,0,V16/$D16))</f>
        <v>0.20300751879699</v>
      </c>
      <c r="X16" s="11">
        <f>SUM(V16,T16,R16,P16)</f>
        <v>133</v>
      </c>
      <c r="Y16" s="9">
        <f>X16/$C16</f>
        <v>1</v>
      </c>
    </row>
    <row r="17" spans="1:25">
      <c r="A17" s="51"/>
      <c r="B17" s="10" t="s">
        <v>23</v>
      </c>
      <c r="C17" s="7">
        <v>106</v>
      </c>
      <c r="D17" s="19">
        <f>SUM(F17,H17,J17,L17,N17)</f>
        <v>106</v>
      </c>
      <c r="E17" s="9">
        <f>D17/$C17</f>
        <v>1</v>
      </c>
      <c r="F17" s="11">
        <v>23</v>
      </c>
      <c r="G17" s="9">
        <f>IF(F17="","",IF($D17=0,0,F17/$D17))</f>
        <v>0.21698113207547</v>
      </c>
      <c r="H17" s="11">
        <v>18</v>
      </c>
      <c r="I17" s="9">
        <f>IF(H17="","",IF($D17=0,0,H17/$D17))</f>
        <v>0.16981132075472</v>
      </c>
      <c r="J17" s="11">
        <v>24</v>
      </c>
      <c r="K17" s="9">
        <f>IF(J17="","",IF($D17=0,0,J17/$D17))</f>
        <v>0.22641509433962</v>
      </c>
      <c r="L17" s="11">
        <v>22</v>
      </c>
      <c r="M17" s="9">
        <f>IF(L17="","",IF($D17=0,0,L17/$D17))</f>
        <v>0.20754716981132</v>
      </c>
      <c r="N17" s="11">
        <v>19</v>
      </c>
      <c r="O17" s="9">
        <f>IF(N17="","",IF($D17=0,0,N17/$D17))</f>
        <v>0.17924528301887</v>
      </c>
      <c r="P17" s="11">
        <v>22</v>
      </c>
      <c r="Q17" s="9">
        <f>IF(P17="","",IF($D17=0,0,P17/$D17))</f>
        <v>0.20754716981132</v>
      </c>
      <c r="R17" s="11">
        <v>28</v>
      </c>
      <c r="S17" s="9">
        <f>IF(R17="","",IF($D17=0,0,R17/$D17))</f>
        <v>0.26415094339623</v>
      </c>
      <c r="T17" s="11">
        <v>33</v>
      </c>
      <c r="U17" s="9">
        <f>IF(T17="","",IF($D17=0,0,T17/$D17))</f>
        <v>0.31132075471698</v>
      </c>
      <c r="V17" s="11">
        <v>23</v>
      </c>
      <c r="W17" s="9">
        <f>IF(V17="","",IF($D17=0,0,V17/$D17))</f>
        <v>0.21698113207547</v>
      </c>
      <c r="X17" s="11">
        <f>SUM(V17,T17,R17,P17)</f>
        <v>106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239</v>
      </c>
      <c r="D18" s="14">
        <f>SUM(D16:D17)</f>
        <v>239</v>
      </c>
      <c r="E18" s="9">
        <f>D18/$C18</f>
        <v>1</v>
      </c>
      <c r="F18" s="14">
        <f>SUM(F16:F17)</f>
        <v>44</v>
      </c>
      <c r="G18" s="15">
        <f>IF(F18="","",IF($D18=0,0,F18/$D18))</f>
        <v>0.18410041841004</v>
      </c>
      <c r="H18" s="14">
        <f>SUM(H16:H17)</f>
        <v>45</v>
      </c>
      <c r="I18" s="15">
        <f>IF(H18="","",IF($D18=0,0,H18/$D18))</f>
        <v>0.18828451882845</v>
      </c>
      <c r="J18" s="14">
        <f>SUM(J16:J17)</f>
        <v>47</v>
      </c>
      <c r="K18" s="15">
        <f>IF(J18="","",IF($D18=0,0,J18/$D18))</f>
        <v>0.19665271966527</v>
      </c>
      <c r="L18" s="14">
        <f>SUM(L16:L17)</f>
        <v>48</v>
      </c>
      <c r="M18" s="15">
        <f>IF(L18="","",IF($D18=0,0,L18/$D18))</f>
        <v>0.20083682008368</v>
      </c>
      <c r="N18" s="14">
        <f>SUM(N16:N17)</f>
        <v>55</v>
      </c>
      <c r="O18" s="15">
        <f>IF(N18="","",IF($D18=0,0,N18/$D18))</f>
        <v>0.23012552301255</v>
      </c>
      <c r="P18" s="14">
        <f>SUM(P16:P17)</f>
        <v>57</v>
      </c>
      <c r="Q18" s="15">
        <f>IF(P18="","",IF($D18=0,0,P18/$D18))</f>
        <v>0.23849372384937</v>
      </c>
      <c r="R18" s="14">
        <f>SUM(R16:R17)</f>
        <v>65</v>
      </c>
      <c r="S18" s="15">
        <f>IF(R18="","",IF($D18=0,0,R18/$D18))</f>
        <v>0.27196652719665</v>
      </c>
      <c r="T18" s="14">
        <f>SUM(T16:T17)</f>
        <v>67</v>
      </c>
      <c r="U18" s="15">
        <f>IF(T18="","",IF($D18=0,0,T18/$D18))</f>
        <v>0.28033472803347</v>
      </c>
      <c r="V18" s="14">
        <f>SUM(V16:V17)</f>
        <v>50</v>
      </c>
      <c r="W18" s="15">
        <f>IF(V18="","",IF($D18=0,0,V18/$D18))</f>
        <v>0.2092050209205</v>
      </c>
      <c r="X18" s="14">
        <f>SUM(X16:X17)</f>
        <v>239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102</v>
      </c>
      <c r="D19" s="19">
        <f>SUM(F19,H19,J19,L19,N19)</f>
        <v>102</v>
      </c>
      <c r="E19" s="9">
        <f>D19/$C19</f>
        <v>1</v>
      </c>
      <c r="F19" s="11">
        <v>16</v>
      </c>
      <c r="G19" s="9">
        <f>IF(F19="","",IF($D19=0,0,F19/$D19))</f>
        <v>0.15686274509804</v>
      </c>
      <c r="H19" s="11">
        <v>18</v>
      </c>
      <c r="I19" s="9">
        <f>IF(H19="","",IF($D19=0,0,H19/$D19))</f>
        <v>0.17647058823529</v>
      </c>
      <c r="J19" s="11">
        <v>21</v>
      </c>
      <c r="K19" s="9">
        <f>IF(J19="","",IF($D19=0,0,J19/$D19))</f>
        <v>0.20588235294118</v>
      </c>
      <c r="L19" s="11">
        <v>20</v>
      </c>
      <c r="M19" s="9">
        <f>IF(L19="","",IF($D19=0,0,L19/$D19))</f>
        <v>0.19607843137255</v>
      </c>
      <c r="N19" s="11">
        <v>27</v>
      </c>
      <c r="O19" s="9">
        <f>IF(N19="","",IF($D19=0,0,N19/$D19))</f>
        <v>0.26470588235294</v>
      </c>
      <c r="P19" s="11">
        <v>24</v>
      </c>
      <c r="Q19" s="9">
        <f>IF(P19="","",IF($D19=0,0,P19/$D19))</f>
        <v>0.23529411764706</v>
      </c>
      <c r="R19" s="11">
        <v>24</v>
      </c>
      <c r="S19" s="9">
        <f>IF(R19="","",IF($D19=0,0,R19/$D19))</f>
        <v>0.23529411764706</v>
      </c>
      <c r="T19" s="11">
        <v>31</v>
      </c>
      <c r="U19" s="9">
        <f>IF(T19="","",IF($D19=0,0,T19/$D19))</f>
        <v>0.30392156862745</v>
      </c>
      <c r="V19" s="11">
        <v>23</v>
      </c>
      <c r="W19" s="9">
        <f>IF(V19="","",IF($D19=0,0,V19/$D19))</f>
        <v>0.22549019607843</v>
      </c>
      <c r="X19" s="11">
        <f>SUM(V19,T19,R19,P19)</f>
        <v>102</v>
      </c>
      <c r="Y19" s="9">
        <f>X19/$C19</f>
        <v>1</v>
      </c>
    </row>
    <row r="20" spans="1:25">
      <c r="A20" s="51"/>
      <c r="B20" s="10" t="s">
        <v>23</v>
      </c>
      <c r="C20" s="7">
        <v>99</v>
      </c>
      <c r="D20" s="19">
        <f>SUM(F20,H20,J20,L20,N20)</f>
        <v>99</v>
      </c>
      <c r="E20" s="9">
        <f>D20/$C20</f>
        <v>1</v>
      </c>
      <c r="F20" s="11">
        <v>22</v>
      </c>
      <c r="G20" s="9">
        <f>IF(F20="","",IF($D20=0,0,F20/$D20))</f>
        <v>0.22222222222222</v>
      </c>
      <c r="H20" s="11">
        <v>18</v>
      </c>
      <c r="I20" s="9">
        <f>IF(H20="","",IF($D20=0,0,H20/$D20))</f>
        <v>0.18181818181818</v>
      </c>
      <c r="J20" s="11">
        <v>17</v>
      </c>
      <c r="K20" s="9">
        <f>IF(J20="","",IF($D20=0,0,J20/$D20))</f>
        <v>0.17171717171717</v>
      </c>
      <c r="L20" s="11">
        <v>26</v>
      </c>
      <c r="M20" s="9">
        <f>IF(L20="","",IF($D20=0,0,L20/$D20))</f>
        <v>0.26262626262626</v>
      </c>
      <c r="N20" s="11">
        <v>16</v>
      </c>
      <c r="O20" s="9">
        <f>IF(N20="","",IF($D20=0,0,N20/$D20))</f>
        <v>0.16161616161616</v>
      </c>
      <c r="P20" s="11">
        <v>33</v>
      </c>
      <c r="Q20" s="9">
        <f>IF(P20="","",IF($D20=0,0,P20/$D20))</f>
        <v>0.33333333333333</v>
      </c>
      <c r="R20" s="11">
        <v>23</v>
      </c>
      <c r="S20" s="9">
        <f>IF(R20="","",IF($D20=0,0,R20/$D20))</f>
        <v>0.23232323232323</v>
      </c>
      <c r="T20" s="11">
        <v>20</v>
      </c>
      <c r="U20" s="9">
        <f>IF(T20="","",IF($D20=0,0,T20/$D20))</f>
        <v>0.2020202020202</v>
      </c>
      <c r="V20" s="11">
        <v>23</v>
      </c>
      <c r="W20" s="9">
        <f>IF(V20="","",IF($D20=0,0,V20/$D20))</f>
        <v>0.23232323232323</v>
      </c>
      <c r="X20" s="11">
        <f>SUM(V20,T20,R20,P20)</f>
        <v>99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201</v>
      </c>
      <c r="D21" s="14">
        <f>SUM(D19:D20)</f>
        <v>201</v>
      </c>
      <c r="E21" s="9">
        <f>D21/$C21</f>
        <v>1</v>
      </c>
      <c r="F21" s="14">
        <f>SUM(F19:F20)</f>
        <v>38</v>
      </c>
      <c r="G21" s="15">
        <f>IF(F21="","",IF($D21=0,0,F21/$D21))</f>
        <v>0.18905472636816</v>
      </c>
      <c r="H21" s="14">
        <f>SUM(H19:H20)</f>
        <v>36</v>
      </c>
      <c r="I21" s="15">
        <f>IF(H21="","",IF($D21=0,0,H21/$D21))</f>
        <v>0.17910447761194</v>
      </c>
      <c r="J21" s="14">
        <f>SUM(J19:J20)</f>
        <v>38</v>
      </c>
      <c r="K21" s="15">
        <f>IF(J21="","",IF($D21=0,0,J21/$D21))</f>
        <v>0.18905472636816</v>
      </c>
      <c r="L21" s="14">
        <f>SUM(L19:L20)</f>
        <v>46</v>
      </c>
      <c r="M21" s="15">
        <f>IF(L21="","",IF($D21=0,0,L21/$D21))</f>
        <v>0.22885572139303</v>
      </c>
      <c r="N21" s="14">
        <f>SUM(N19:N20)</f>
        <v>43</v>
      </c>
      <c r="O21" s="15">
        <f>IF(N21="","",IF($D21=0,0,N21/$D21))</f>
        <v>0.21393034825871</v>
      </c>
      <c r="P21" s="14">
        <f>SUM(P19:P20)</f>
        <v>57</v>
      </c>
      <c r="Q21" s="15">
        <f>IF(P21="","",IF($D21=0,0,P21/$D21))</f>
        <v>0.28358208955224</v>
      </c>
      <c r="R21" s="14">
        <f>SUM(R19:R20)</f>
        <v>47</v>
      </c>
      <c r="S21" s="15">
        <f>IF(R21="","",IF($D21=0,0,R21/$D21))</f>
        <v>0.23383084577114</v>
      </c>
      <c r="T21" s="14">
        <f>SUM(T19:T20)</f>
        <v>51</v>
      </c>
      <c r="U21" s="15">
        <f>IF(T21="","",IF($D21=0,0,T21/$D21))</f>
        <v>0.25373134328358</v>
      </c>
      <c r="V21" s="14">
        <f>SUM(V19:V20)</f>
        <v>46</v>
      </c>
      <c r="W21" s="15">
        <f>IF(V21="","",IF($D21=0,0,V21/$D21))</f>
        <v>0.22885572139303</v>
      </c>
      <c r="X21" s="14">
        <f>SUM(X19:X20)</f>
        <v>201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100</v>
      </c>
      <c r="D22" s="19">
        <f>SUM(F22,H22,J22,L22,N22)</f>
        <v>100</v>
      </c>
      <c r="E22" s="9">
        <f>D22/$C22</f>
        <v>1</v>
      </c>
      <c r="F22" s="11">
        <v>13</v>
      </c>
      <c r="G22" s="9">
        <f>IF(F22="","",IF($D22=0,0,F22/$D22))</f>
        <v>0.13</v>
      </c>
      <c r="H22" s="11">
        <v>17</v>
      </c>
      <c r="I22" s="9">
        <f>IF(H22="","",IF($D22=0,0,H22/$D22))</f>
        <v>0.17</v>
      </c>
      <c r="J22" s="11">
        <v>30</v>
      </c>
      <c r="K22" s="9">
        <f>IF(J22="","",IF($D22=0,0,J22/$D22))</f>
        <v>0.3</v>
      </c>
      <c r="L22" s="11">
        <v>19</v>
      </c>
      <c r="M22" s="9">
        <f>IF(L22="","",IF($D22=0,0,L22/$D22))</f>
        <v>0.19</v>
      </c>
      <c r="N22" s="11">
        <v>21</v>
      </c>
      <c r="O22" s="9">
        <f>IF(N22="","",IF($D22=0,0,N22/$D22))</f>
        <v>0.21</v>
      </c>
      <c r="P22" s="11">
        <v>18</v>
      </c>
      <c r="Q22" s="9">
        <f>IF(P22="","",IF($D22=0,0,P22/$D22))</f>
        <v>0.18</v>
      </c>
      <c r="R22" s="11">
        <v>33</v>
      </c>
      <c r="S22" s="9">
        <f>IF(R22="","",IF($D22=0,0,R22/$D22))</f>
        <v>0.33</v>
      </c>
      <c r="T22" s="11">
        <v>18</v>
      </c>
      <c r="U22" s="9">
        <f>IF(T22="","",IF($D22=0,0,T22/$D22))</f>
        <v>0.18</v>
      </c>
      <c r="V22" s="11">
        <v>31</v>
      </c>
      <c r="W22" s="9">
        <f>IF(V22="","",IF($D22=0,0,V22/$D22))</f>
        <v>0.31</v>
      </c>
      <c r="X22" s="11">
        <f>SUM(V22,T22,R22,P22)</f>
        <v>100</v>
      </c>
      <c r="Y22" s="9">
        <f>X22/$C22</f>
        <v>1</v>
      </c>
    </row>
    <row r="23" spans="1:25">
      <c r="A23" s="51"/>
      <c r="B23" s="10" t="s">
        <v>23</v>
      </c>
      <c r="C23" s="7">
        <v>116</v>
      </c>
      <c r="D23" s="19">
        <f>SUM(F23,H23,J23,L23,N23)</f>
        <v>116</v>
      </c>
      <c r="E23" s="9">
        <f>D23/$C23</f>
        <v>1</v>
      </c>
      <c r="F23" s="11">
        <v>20</v>
      </c>
      <c r="G23" s="9">
        <f>IF(F23="","",IF($D23=0,0,F23/$D23))</f>
        <v>0.17241379310345</v>
      </c>
      <c r="H23" s="11">
        <v>31</v>
      </c>
      <c r="I23" s="9">
        <f>IF(H23="","",IF($D23=0,0,H23/$D23))</f>
        <v>0.26724137931034</v>
      </c>
      <c r="J23" s="11">
        <v>16</v>
      </c>
      <c r="K23" s="9">
        <f>IF(J23="","",IF($D23=0,0,J23/$D23))</f>
        <v>0.13793103448276</v>
      </c>
      <c r="L23" s="11">
        <v>28</v>
      </c>
      <c r="M23" s="9">
        <f>IF(L23="","",IF($D23=0,0,L23/$D23))</f>
        <v>0.24137931034483</v>
      </c>
      <c r="N23" s="11">
        <v>21</v>
      </c>
      <c r="O23" s="9">
        <f>IF(N23="","",IF($D23=0,0,N23/$D23))</f>
        <v>0.18103448275862</v>
      </c>
      <c r="P23" s="11">
        <v>29</v>
      </c>
      <c r="Q23" s="9">
        <f>IF(P23="","",IF($D23=0,0,P23/$D23))</f>
        <v>0.25</v>
      </c>
      <c r="R23" s="11">
        <v>25</v>
      </c>
      <c r="S23" s="9">
        <f>IF(R23="","",IF($D23=0,0,R23/$D23))</f>
        <v>0.21551724137931</v>
      </c>
      <c r="T23" s="11">
        <v>26</v>
      </c>
      <c r="U23" s="9">
        <f>IF(T23="","",IF($D23=0,0,T23/$D23))</f>
        <v>0.22413793103448</v>
      </c>
      <c r="V23" s="11">
        <v>36</v>
      </c>
      <c r="W23" s="9">
        <f>IF(V23="","",IF($D23=0,0,V23/$D23))</f>
        <v>0.31034482758621</v>
      </c>
      <c r="X23" s="11">
        <f>SUM(V23,T23,R23,P23)</f>
        <v>116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216</v>
      </c>
      <c r="D24" s="14">
        <f>SUM(D22:D23)</f>
        <v>216</v>
      </c>
      <c r="E24" s="9">
        <f>D24/$C24</f>
        <v>1</v>
      </c>
      <c r="F24" s="14">
        <f>SUM(F22:F23)</f>
        <v>33</v>
      </c>
      <c r="G24" s="15">
        <f>IF(F24="","",IF($D24=0,0,F24/$D24))</f>
        <v>0.15277777777778</v>
      </c>
      <c r="H24" s="14">
        <f>SUM(H22:H23)</f>
        <v>48</v>
      </c>
      <c r="I24" s="15">
        <f>IF(H24="","",IF($D24=0,0,H24/$D24))</f>
        <v>0.22222222222222</v>
      </c>
      <c r="J24" s="14">
        <f>SUM(J22:J23)</f>
        <v>46</v>
      </c>
      <c r="K24" s="15">
        <f>IF(J24="","",IF($D24=0,0,J24/$D24))</f>
        <v>0.21296296296296</v>
      </c>
      <c r="L24" s="14">
        <f>SUM(L22:L23)</f>
        <v>47</v>
      </c>
      <c r="M24" s="15">
        <f>IF(L24="","",IF($D24=0,0,L24/$D24))</f>
        <v>0.21759259259259</v>
      </c>
      <c r="N24" s="14">
        <f>SUM(N22:N23)</f>
        <v>42</v>
      </c>
      <c r="O24" s="15">
        <f>IF(N24="","",IF($D24=0,0,N24/$D24))</f>
        <v>0.19444444444444</v>
      </c>
      <c r="P24" s="14">
        <f>SUM(P22:P23)</f>
        <v>47</v>
      </c>
      <c r="Q24" s="15">
        <f>IF(P24="","",IF($D24=0,0,P24/$D24))</f>
        <v>0.21759259259259</v>
      </c>
      <c r="R24" s="14">
        <f>SUM(R22:R23)</f>
        <v>58</v>
      </c>
      <c r="S24" s="15">
        <f>IF(R24="","",IF($D24=0,0,R24/$D24))</f>
        <v>0.26851851851852</v>
      </c>
      <c r="T24" s="14">
        <f>SUM(T22:T23)</f>
        <v>44</v>
      </c>
      <c r="U24" s="15">
        <f>IF(T24="","",IF($D24=0,0,T24/$D24))</f>
        <v>0.2037037037037</v>
      </c>
      <c r="V24" s="14">
        <f>SUM(V22:V23)</f>
        <v>67</v>
      </c>
      <c r="W24" s="15">
        <f>IF(V24="","",IF($D24=0,0,V24/$D24))</f>
        <v>0.31018518518519</v>
      </c>
      <c r="X24" s="14">
        <f>SUM(X22:X23)</f>
        <v>216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116</v>
      </c>
      <c r="D25" s="19">
        <f>SUM(F25,H25,J25,L25,N25)</f>
        <v>116</v>
      </c>
      <c r="E25" s="9">
        <f>D25/$C25</f>
        <v>1</v>
      </c>
      <c r="F25" s="11">
        <v>23</v>
      </c>
      <c r="G25" s="9">
        <f>IF(F25="","",IF($D25=0,0,F25/$D25))</f>
        <v>0.19827586206897</v>
      </c>
      <c r="H25" s="11">
        <v>27</v>
      </c>
      <c r="I25" s="9">
        <f>IF(H25="","",IF($D25=0,0,H25/$D25))</f>
        <v>0.23275862068966</v>
      </c>
      <c r="J25" s="11">
        <v>17</v>
      </c>
      <c r="K25" s="9">
        <f>IF(J25="","",IF($D25=0,0,J25/$D25))</f>
        <v>0.14655172413793</v>
      </c>
      <c r="L25" s="11">
        <v>22</v>
      </c>
      <c r="M25" s="9">
        <f>IF(L25="","",IF($D25=0,0,L25/$D25))</f>
        <v>0.18965517241379</v>
      </c>
      <c r="N25" s="11">
        <v>27</v>
      </c>
      <c r="O25" s="9">
        <f>IF(N25="","",IF($D25=0,0,N25/$D25))</f>
        <v>0.23275862068966</v>
      </c>
      <c r="P25" s="11">
        <v>28</v>
      </c>
      <c r="Q25" s="9">
        <f>IF(P25="","",IF($D25=0,0,P25/$D25))</f>
        <v>0.24137931034483</v>
      </c>
      <c r="R25" s="11">
        <v>25</v>
      </c>
      <c r="S25" s="9">
        <f>IF(R25="","",IF($D25=0,0,R25/$D25))</f>
        <v>0.21551724137931</v>
      </c>
      <c r="T25" s="11">
        <v>24</v>
      </c>
      <c r="U25" s="9">
        <f>IF(T25="","",IF($D25=0,0,T25/$D25))</f>
        <v>0.20689655172414</v>
      </c>
      <c r="V25" s="11">
        <v>39</v>
      </c>
      <c r="W25" s="9">
        <f>IF(V25="","",IF($D25=0,0,V25/$D25))</f>
        <v>0.33620689655172</v>
      </c>
      <c r="X25" s="11">
        <f>SUM(V25,T25,R25,P25)</f>
        <v>116</v>
      </c>
      <c r="Y25" s="9">
        <f>X25/$C25</f>
        <v>1</v>
      </c>
    </row>
    <row r="26" spans="1:25">
      <c r="A26" s="51"/>
      <c r="B26" s="10" t="s">
        <v>23</v>
      </c>
      <c r="C26" s="7">
        <v>105</v>
      </c>
      <c r="D26" s="19">
        <f>SUM(F26,H26,J26,L26,N26)</f>
        <v>105</v>
      </c>
      <c r="E26" s="9">
        <f>D26/$C26</f>
        <v>1</v>
      </c>
      <c r="F26" s="11">
        <v>17</v>
      </c>
      <c r="G26" s="9">
        <f>IF(F26="","",IF($D26=0,0,F26/$D26))</f>
        <v>0.16190476190476</v>
      </c>
      <c r="H26" s="11">
        <v>23</v>
      </c>
      <c r="I26" s="9">
        <f>IF(H26="","",IF($D26=0,0,H26/$D26))</f>
        <v>0.21904761904762</v>
      </c>
      <c r="J26" s="11">
        <v>26</v>
      </c>
      <c r="K26" s="9">
        <f>IF(J26="","",IF($D26=0,0,J26/$D26))</f>
        <v>0.24761904761905</v>
      </c>
      <c r="L26" s="11">
        <v>21</v>
      </c>
      <c r="M26" s="9">
        <f>IF(L26="","",IF($D26=0,0,L26/$D26))</f>
        <v>0.2</v>
      </c>
      <c r="N26" s="11">
        <v>18</v>
      </c>
      <c r="O26" s="9">
        <f>IF(N26="","",IF($D26=0,0,N26/$D26))</f>
        <v>0.17142857142857</v>
      </c>
      <c r="P26" s="11">
        <v>28</v>
      </c>
      <c r="Q26" s="9">
        <f>IF(P26="","",IF($D26=0,0,P26/$D26))</f>
        <v>0.26666666666667</v>
      </c>
      <c r="R26" s="11">
        <v>26</v>
      </c>
      <c r="S26" s="9">
        <f>IF(R26="","",IF($D26=0,0,R26/$D26))</f>
        <v>0.24761904761905</v>
      </c>
      <c r="T26" s="11">
        <v>26</v>
      </c>
      <c r="U26" s="9">
        <f>IF(T26="","",IF($D26=0,0,T26/$D26))</f>
        <v>0.24761904761905</v>
      </c>
      <c r="V26" s="11">
        <v>25</v>
      </c>
      <c r="W26" s="9">
        <f>IF(V26="","",IF($D26=0,0,V26/$D26))</f>
        <v>0.23809523809524</v>
      </c>
      <c r="X26" s="11">
        <f>SUM(V26,T26,R26,P26)</f>
        <v>105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221</v>
      </c>
      <c r="D27" s="14">
        <f>SUM(D25:D26)</f>
        <v>221</v>
      </c>
      <c r="E27" s="9">
        <f>D27/$C27</f>
        <v>1</v>
      </c>
      <c r="F27" s="14">
        <f>SUM(F25:F26)</f>
        <v>40</v>
      </c>
      <c r="G27" s="15">
        <f>IF(F27="","",IF($D27=0,0,F27/$D27))</f>
        <v>0.18099547511312</v>
      </c>
      <c r="H27" s="14">
        <f>SUM(H25:H26)</f>
        <v>50</v>
      </c>
      <c r="I27" s="15">
        <f>IF(H27="","",IF($D27=0,0,H27/$D27))</f>
        <v>0.2262443438914</v>
      </c>
      <c r="J27" s="14">
        <f>SUM(J25:J26)</f>
        <v>43</v>
      </c>
      <c r="K27" s="15">
        <f>IF(J27="","",IF($D27=0,0,J27/$D27))</f>
        <v>0.19457013574661</v>
      </c>
      <c r="L27" s="14">
        <f>SUM(L25:L26)</f>
        <v>43</v>
      </c>
      <c r="M27" s="15">
        <f>IF(L27="","",IF($D27=0,0,L27/$D27))</f>
        <v>0.19457013574661</v>
      </c>
      <c r="N27" s="14">
        <f>SUM(N25:N26)</f>
        <v>45</v>
      </c>
      <c r="O27" s="15">
        <f>IF(N27="","",IF($D27=0,0,N27/$D27))</f>
        <v>0.20361990950226</v>
      </c>
      <c r="P27" s="14">
        <f>SUM(P25:P26)</f>
        <v>56</v>
      </c>
      <c r="Q27" s="15">
        <f>IF(P27="","",IF($D27=0,0,P27/$D27))</f>
        <v>0.25339366515837</v>
      </c>
      <c r="R27" s="14">
        <f>SUM(R25:R26)</f>
        <v>51</v>
      </c>
      <c r="S27" s="15">
        <f>IF(R27="","",IF($D27=0,0,R27/$D27))</f>
        <v>0.23076923076923</v>
      </c>
      <c r="T27" s="14">
        <f>SUM(T25:T26)</f>
        <v>50</v>
      </c>
      <c r="U27" s="15">
        <f>IF(T27="","",IF($D27=0,0,T27/$D27))</f>
        <v>0.2262443438914</v>
      </c>
      <c r="V27" s="14">
        <f>SUM(V25:V26)</f>
        <v>64</v>
      </c>
      <c r="W27" s="15">
        <f>IF(V27="","",IF($D27=0,0,V27/$D27))</f>
        <v>0.289592760181</v>
      </c>
      <c r="X27" s="14">
        <f>SUM(X25:X26)</f>
        <v>221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115</v>
      </c>
      <c r="D28" s="19">
        <f>SUM(F28,H28,J28,L28,N28)</f>
        <v>115</v>
      </c>
      <c r="E28" s="9">
        <f>D28/$C28</f>
        <v>1</v>
      </c>
      <c r="F28" s="11">
        <v>24</v>
      </c>
      <c r="G28" s="9">
        <f>IF(F28="","",IF($D28=0,0,F28/$D28))</f>
        <v>0.20869565217391</v>
      </c>
      <c r="H28" s="11">
        <v>21</v>
      </c>
      <c r="I28" s="9">
        <f>IF(H28="","",IF($D28=0,0,H28/$D28))</f>
        <v>0.18260869565217</v>
      </c>
      <c r="J28" s="11">
        <v>24</v>
      </c>
      <c r="K28" s="9">
        <f>IF(J28="","",IF($D28=0,0,J28/$D28))</f>
        <v>0.20869565217391</v>
      </c>
      <c r="L28" s="11">
        <v>25</v>
      </c>
      <c r="M28" s="9">
        <f>IF(L28="","",IF($D28=0,0,L28/$D28))</f>
        <v>0.21739130434783</v>
      </c>
      <c r="N28" s="11">
        <v>21</v>
      </c>
      <c r="O28" s="9">
        <f>IF(N28="","",IF($D28=0,0,N28/$D28))</f>
        <v>0.18260869565217</v>
      </c>
      <c r="P28" s="11">
        <v>26</v>
      </c>
      <c r="Q28" s="9">
        <f>IF(P28="","",IF($D28=0,0,P28/$D28))</f>
        <v>0.22608695652174</v>
      </c>
      <c r="R28" s="11">
        <v>29</v>
      </c>
      <c r="S28" s="9">
        <f>IF(R28="","",IF($D28=0,0,R28/$D28))</f>
        <v>0.25217391304348</v>
      </c>
      <c r="T28" s="11">
        <v>30</v>
      </c>
      <c r="U28" s="9">
        <f>IF(T28="","",IF($D28=0,0,T28/$D28))</f>
        <v>0.26086956521739</v>
      </c>
      <c r="V28" s="11">
        <v>30</v>
      </c>
      <c r="W28" s="9">
        <f>IF(V28="","",IF($D28=0,0,V28/$D28))</f>
        <v>0.26086956521739</v>
      </c>
      <c r="X28" s="11">
        <f>SUM(V28,T28,R28,P28)</f>
        <v>115</v>
      </c>
      <c r="Y28" s="9">
        <f>X28/$C28</f>
        <v>1</v>
      </c>
    </row>
    <row r="29" spans="1:25">
      <c r="A29" s="51"/>
      <c r="B29" s="10" t="s">
        <v>23</v>
      </c>
      <c r="C29" s="7">
        <v>111</v>
      </c>
      <c r="D29" s="19">
        <f>SUM(F29,H29,J29,L29,N29)</f>
        <v>111</v>
      </c>
      <c r="E29" s="9">
        <f>D29/$C29</f>
        <v>1</v>
      </c>
      <c r="F29" s="11">
        <v>20</v>
      </c>
      <c r="G29" s="9">
        <f>IF(F29="","",IF($D29=0,0,F29/$D29))</f>
        <v>0.18018018018018</v>
      </c>
      <c r="H29" s="11">
        <v>17</v>
      </c>
      <c r="I29" s="9">
        <f>IF(H29="","",IF($D29=0,0,H29/$D29))</f>
        <v>0.15315315315315</v>
      </c>
      <c r="J29" s="11">
        <v>37</v>
      </c>
      <c r="K29" s="9">
        <f>IF(J29="","",IF($D29=0,0,J29/$D29))</f>
        <v>0.33333333333333</v>
      </c>
      <c r="L29" s="11">
        <v>14</v>
      </c>
      <c r="M29" s="9">
        <f>IF(L29="","",IF($D29=0,0,L29/$D29))</f>
        <v>0.12612612612613</v>
      </c>
      <c r="N29" s="11">
        <v>23</v>
      </c>
      <c r="O29" s="9">
        <f>IF(N29="","",IF($D29=0,0,N29/$D29))</f>
        <v>0.20720720720721</v>
      </c>
      <c r="P29" s="11">
        <v>24</v>
      </c>
      <c r="Q29" s="9">
        <f>IF(P29="","",IF($D29=0,0,P29/$D29))</f>
        <v>0.21621621621622</v>
      </c>
      <c r="R29" s="11">
        <v>40</v>
      </c>
      <c r="S29" s="9">
        <f>IF(R29="","",IF($D29=0,0,R29/$D29))</f>
        <v>0.36036036036036</v>
      </c>
      <c r="T29" s="11">
        <v>21</v>
      </c>
      <c r="U29" s="9">
        <f>IF(T29="","",IF($D29=0,0,T29/$D29))</f>
        <v>0.18918918918919</v>
      </c>
      <c r="V29" s="11">
        <v>26</v>
      </c>
      <c r="W29" s="9">
        <f>IF(V29="","",IF($D29=0,0,V29/$D29))</f>
        <v>0.23423423423423</v>
      </c>
      <c r="X29" s="11">
        <f>SUM(V29,T29,R29,P29)</f>
        <v>111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226</v>
      </c>
      <c r="D30" s="14">
        <f>SUM(D28:D29)</f>
        <v>226</v>
      </c>
      <c r="E30" s="9">
        <f>D30/$C30</f>
        <v>1</v>
      </c>
      <c r="F30" s="14">
        <f>SUM(F28:F29)</f>
        <v>44</v>
      </c>
      <c r="G30" s="15">
        <f>IF(F30="","",IF($D30=0,0,F30/$D30))</f>
        <v>0.19469026548673</v>
      </c>
      <c r="H30" s="14">
        <f>SUM(H28:H29)</f>
        <v>38</v>
      </c>
      <c r="I30" s="15">
        <f>IF(H30="","",IF($D30=0,0,H30/$D30))</f>
        <v>0.16814159292035</v>
      </c>
      <c r="J30" s="14">
        <f>SUM(J28:J29)</f>
        <v>61</v>
      </c>
      <c r="K30" s="15">
        <f>IF(J30="","",IF($D30=0,0,J30/$D30))</f>
        <v>0.26991150442478</v>
      </c>
      <c r="L30" s="14">
        <f>SUM(L28:L29)</f>
        <v>39</v>
      </c>
      <c r="M30" s="15">
        <f>IF(L30="","",IF($D30=0,0,L30/$D30))</f>
        <v>0.17256637168142</v>
      </c>
      <c r="N30" s="14">
        <f>SUM(N28:N29)</f>
        <v>44</v>
      </c>
      <c r="O30" s="15">
        <f>IF(N30="","",IF($D30=0,0,N30/$D30))</f>
        <v>0.19469026548673</v>
      </c>
      <c r="P30" s="14">
        <f>SUM(P28:P29)</f>
        <v>50</v>
      </c>
      <c r="Q30" s="15">
        <f>IF(P30="","",IF($D30=0,0,P30/$D30))</f>
        <v>0.2212389380531</v>
      </c>
      <c r="R30" s="14">
        <f>SUM(R28:R29)</f>
        <v>69</v>
      </c>
      <c r="S30" s="15">
        <f>IF(R30="","",IF($D30=0,0,R30/$D30))</f>
        <v>0.30530973451327</v>
      </c>
      <c r="T30" s="14">
        <f>SUM(T28:T29)</f>
        <v>51</v>
      </c>
      <c r="U30" s="15">
        <f>IF(T30="","",IF($D30=0,0,T30/$D30))</f>
        <v>0.22566371681416</v>
      </c>
      <c r="V30" s="14">
        <f>SUM(V28:V29)</f>
        <v>56</v>
      </c>
      <c r="W30" s="15">
        <f>IF(V30="","",IF($D30=0,0,V30/$D30))</f>
        <v>0.24778761061947</v>
      </c>
      <c r="X30" s="14">
        <f>SUM(X28:X29)</f>
        <v>226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113</v>
      </c>
      <c r="D31" s="19">
        <f>SUM(F31,H31,J31,L31,N31)</f>
        <v>113</v>
      </c>
      <c r="E31" s="9">
        <f>D31/$C31</f>
        <v>1</v>
      </c>
      <c r="F31" s="11">
        <v>15</v>
      </c>
      <c r="G31" s="9">
        <f>IF(F31="","",IF($D31=0,0,F31/$D31))</f>
        <v>0.13274336283186</v>
      </c>
      <c r="H31" s="11">
        <v>21</v>
      </c>
      <c r="I31" s="9">
        <f>IF(H31="","",IF($D31=0,0,H31/$D31))</f>
        <v>0.1858407079646</v>
      </c>
      <c r="J31" s="11">
        <v>27</v>
      </c>
      <c r="K31" s="9">
        <f>IF(J31="","",IF($D31=0,0,J31/$D31))</f>
        <v>0.23893805309735</v>
      </c>
      <c r="L31" s="11">
        <v>35</v>
      </c>
      <c r="M31" s="9">
        <f>IF(L31="","",IF($D31=0,0,L31/$D31))</f>
        <v>0.30973451327434</v>
      </c>
      <c r="N31" s="11">
        <v>15</v>
      </c>
      <c r="O31" s="9">
        <f>IF(N31="","",IF($D31=0,0,N31/$D31))</f>
        <v>0.13274336283186</v>
      </c>
      <c r="P31" s="11">
        <v>29</v>
      </c>
      <c r="Q31" s="9">
        <f>IF(P31="","",IF($D31=0,0,P31/$D31))</f>
        <v>0.25663716814159</v>
      </c>
      <c r="R31" s="11">
        <v>29</v>
      </c>
      <c r="S31" s="9">
        <f>IF(R31="","",IF($D31=0,0,R31/$D31))</f>
        <v>0.25663716814159</v>
      </c>
      <c r="T31" s="11">
        <v>33</v>
      </c>
      <c r="U31" s="9">
        <f>IF(T31="","",IF($D31=0,0,T31/$D31))</f>
        <v>0.29203539823009</v>
      </c>
      <c r="V31" s="11">
        <v>22</v>
      </c>
      <c r="W31" s="9">
        <f>IF(V31="","",IF($D31=0,0,V31/$D31))</f>
        <v>0.19469026548673</v>
      </c>
      <c r="X31" s="11">
        <f>SUM(V31,T31,R31,P31)</f>
        <v>113</v>
      </c>
      <c r="Y31" s="9">
        <f>X31/$C31</f>
        <v>1</v>
      </c>
    </row>
    <row r="32" spans="1:25">
      <c r="A32" s="51"/>
      <c r="B32" s="10" t="s">
        <v>23</v>
      </c>
      <c r="C32" s="7">
        <v>114</v>
      </c>
      <c r="D32" s="19">
        <f>SUM(F32,H32,J32,L32,N32)</f>
        <v>114</v>
      </c>
      <c r="E32" s="9">
        <f>D32/$C32</f>
        <v>1</v>
      </c>
      <c r="F32" s="11">
        <v>27</v>
      </c>
      <c r="G32" s="9">
        <f>IF(F32="","",IF($D32=0,0,F32/$D32))</f>
        <v>0.23684210526316</v>
      </c>
      <c r="H32" s="11">
        <v>20</v>
      </c>
      <c r="I32" s="9">
        <f>IF(H32="","",IF($D32=0,0,H32/$D32))</f>
        <v>0.17543859649123</v>
      </c>
      <c r="J32" s="11">
        <v>18</v>
      </c>
      <c r="K32" s="9">
        <f>IF(J32="","",IF($D32=0,0,J32/$D32))</f>
        <v>0.15789473684211</v>
      </c>
      <c r="L32" s="11">
        <v>27</v>
      </c>
      <c r="M32" s="9">
        <f>IF(L32="","",IF($D32=0,0,L32/$D32))</f>
        <v>0.23684210526316</v>
      </c>
      <c r="N32" s="11">
        <v>22</v>
      </c>
      <c r="O32" s="9">
        <f>IF(N32="","",IF($D32=0,0,N32/$D32))</f>
        <v>0.19298245614035</v>
      </c>
      <c r="P32" s="11">
        <v>34</v>
      </c>
      <c r="Q32" s="9">
        <f>IF(P32="","",IF($D32=0,0,P32/$D32))</f>
        <v>0.29824561403509</v>
      </c>
      <c r="R32" s="11">
        <v>29</v>
      </c>
      <c r="S32" s="9">
        <f>IF(R32="","",IF($D32=0,0,R32/$D32))</f>
        <v>0.25438596491228</v>
      </c>
      <c r="T32" s="11">
        <v>20</v>
      </c>
      <c r="U32" s="9">
        <f>IF(T32="","",IF($D32=0,0,T32/$D32))</f>
        <v>0.17543859649123</v>
      </c>
      <c r="V32" s="11">
        <v>31</v>
      </c>
      <c r="W32" s="9">
        <f>IF(V32="","",IF($D32=0,0,V32/$D32))</f>
        <v>0.2719298245614</v>
      </c>
      <c r="X32" s="11">
        <f>SUM(V32,T32,R32,P32)</f>
        <v>114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227</v>
      </c>
      <c r="D33" s="25">
        <f>SUM(D31:D32)</f>
        <v>227</v>
      </c>
      <c r="E33" s="23">
        <f>D33/$C33</f>
        <v>1</v>
      </c>
      <c r="F33" s="25">
        <f>SUM(F31:F32)</f>
        <v>42</v>
      </c>
      <c r="G33" s="34">
        <f>IF(F33="","",IF($D33=0,0,F33/$D33))</f>
        <v>0.18502202643172</v>
      </c>
      <c r="H33" s="25">
        <f>SUM(H31:H32)</f>
        <v>41</v>
      </c>
      <c r="I33" s="34">
        <f>IF(H33="","",IF($D33=0,0,H33/$D33))</f>
        <v>0.18061674008811</v>
      </c>
      <c r="J33" s="25">
        <f>SUM(J31:J32)</f>
        <v>45</v>
      </c>
      <c r="K33" s="34">
        <f>IF(J33="","",IF($D33=0,0,J33/$D33))</f>
        <v>0.19823788546256</v>
      </c>
      <c r="L33" s="25">
        <f>SUM(L31:L32)</f>
        <v>62</v>
      </c>
      <c r="M33" s="34">
        <f>IF(L33="","",IF($D33=0,0,L33/$D33))</f>
        <v>0.27312775330396</v>
      </c>
      <c r="N33" s="25">
        <f>SUM(N31:N32)</f>
        <v>37</v>
      </c>
      <c r="O33" s="34">
        <f>IF(N33="","",IF($D33=0,0,N33/$D33))</f>
        <v>0.16299559471366</v>
      </c>
      <c r="P33" s="25">
        <f>SUM(P31:P32)</f>
        <v>63</v>
      </c>
      <c r="Q33" s="34">
        <f>IF(P33="","",IF($D33=0,0,P33/$D33))</f>
        <v>0.27753303964758</v>
      </c>
      <c r="R33" s="25">
        <f>SUM(R31:R32)</f>
        <v>58</v>
      </c>
      <c r="S33" s="34">
        <f>IF(R33="","",IF($D33=0,0,R33/$D33))</f>
        <v>0.25550660792952</v>
      </c>
      <c r="T33" s="25">
        <f>SUM(T31:T32)</f>
        <v>53</v>
      </c>
      <c r="U33" s="34">
        <f>IF(T33="","",IF($D33=0,0,T33/$D33))</f>
        <v>0.23348017621145</v>
      </c>
      <c r="V33" s="25">
        <f>SUM(V31:V32)</f>
        <v>53</v>
      </c>
      <c r="W33" s="34">
        <f>IF(V33="","",IF($D33=0,0,V33/$D33))</f>
        <v>0.23348017621145</v>
      </c>
      <c r="X33" s="25">
        <f>SUM(X31:X32)</f>
        <v>227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920</v>
      </c>
      <c r="D34" s="27">
        <f>SUM(D31,D28,D25,D22,D19,D16,D13,D10)</f>
        <v>920</v>
      </c>
      <c r="E34" s="24">
        <f>D34/$C34</f>
        <v>1</v>
      </c>
      <c r="F34" s="27">
        <f>SUM(F31,F28,F25,F22,F19,F16,F13,F10)</f>
        <v>152</v>
      </c>
      <c r="G34" s="42">
        <f>IF(F34="","",IF($D34=0,0,F34/$D34))</f>
        <v>0.16521739130435</v>
      </c>
      <c r="H34" s="44">
        <f>SUM(H31,H28,H25,H22,H19,H16,H13,H10)</f>
        <v>178</v>
      </c>
      <c r="I34" s="45">
        <f>IF(H34="","",IF($D34=0,0,H34/$D34))</f>
        <v>0.19347826086957</v>
      </c>
      <c r="J34" s="44">
        <f>SUM(J31,J28,J25,J22,J19,J16,J13,J10)</f>
        <v>202</v>
      </c>
      <c r="K34" s="45">
        <f>IF(J34="","",IF($D34=0,0,J34/$D34))</f>
        <v>0.2195652173913</v>
      </c>
      <c r="L34" s="44">
        <f>SUM(L31,L28,L25,L22,L19,L16,L13,L10)</f>
        <v>194</v>
      </c>
      <c r="M34" s="45">
        <f>IF(L34="","",IF($D34=0,0,L34/$D34))</f>
        <v>0.21086956521739</v>
      </c>
      <c r="N34" s="44">
        <f>SUM(N31,N28,N25,N22,N19,N16,N13,N10)</f>
        <v>194</v>
      </c>
      <c r="O34" s="47">
        <f>IF(N34="","",IF($D34=0,0,N34/$D34))</f>
        <v>0.21086956521739</v>
      </c>
      <c r="P34" s="44">
        <f>SUM(P31,P28,P25,P22,P19,P16,P13,P10)</f>
        <v>219</v>
      </c>
      <c r="Q34" s="45">
        <f>IF(P34="","",IF($D34=0,0,P34/$D34))</f>
        <v>0.23804347826087</v>
      </c>
      <c r="R34" s="44">
        <f>SUM(R31,R28,R25,R22,R19,R16,R13,R10)</f>
        <v>231</v>
      </c>
      <c r="S34" s="45">
        <f>IF(R34="","",IF($D34=0,0,R34/$D34))</f>
        <v>0.25108695652174</v>
      </c>
      <c r="T34" s="44">
        <f>SUM(T31,T28,T25,T22,T19,T16,T13,T10)</f>
        <v>244</v>
      </c>
      <c r="U34" s="45">
        <f>IF(T34="","",IF($D34=0,0,T34/$D34))</f>
        <v>0.26521739130435</v>
      </c>
      <c r="V34" s="44">
        <f>SUM(V31,V28,V25,V22,V19,V16,V13,V10)</f>
        <v>226</v>
      </c>
      <c r="W34" s="45">
        <f>IF(V34="","",IF($D34=0,0,V34/$D34))</f>
        <v>0.24565217391304</v>
      </c>
      <c r="X34" s="27">
        <f>SUM(X31,X28,X25,X22,X19,X16,X13,X10)</f>
        <v>920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875</v>
      </c>
      <c r="D35" s="19">
        <f>SUM(D32,D29,D26,D23,D20,D17,D14,D11)</f>
        <v>875</v>
      </c>
      <c r="E35" s="28">
        <f>D35/$C35</f>
        <v>1</v>
      </c>
      <c r="F35" s="19">
        <f>SUM(F32,F29,F26,F23,F20,F17,F14,F11)</f>
        <v>169</v>
      </c>
      <c r="G35" s="43">
        <f>IF(F35="","",IF($D35=0,0,F35/$D35))</f>
        <v>0.19314285714286</v>
      </c>
      <c r="H35" s="11">
        <f>SUM(H32,H29,H26,H23,H20,H17,H14,H11)</f>
        <v>169</v>
      </c>
      <c r="I35" s="9">
        <f>IF(H35="","",IF($D35=0,0,H35/$D35))</f>
        <v>0.19314285714286</v>
      </c>
      <c r="J35" s="11">
        <f>SUM(J32,J29,J26,J23,J20,J17,J14,J11)</f>
        <v>188</v>
      </c>
      <c r="K35" s="9">
        <f>IF(J35="","",IF($D35=0,0,J35/$D35))</f>
        <v>0.21485714285714</v>
      </c>
      <c r="L35" s="11">
        <f>SUM(L32,L29,L26,L23,L20,L17,L14,L11)</f>
        <v>186</v>
      </c>
      <c r="M35" s="9">
        <f>IF(L35="","",IF($D35=0,0,L35/$D35))</f>
        <v>0.21257142857143</v>
      </c>
      <c r="N35" s="11">
        <f>SUM(N32,N29,N26,N23,N20,N17,N14,N11)</f>
        <v>163</v>
      </c>
      <c r="O35" s="32">
        <f>IF(N35="","",IF($D35=0,0,N35/$D35))</f>
        <v>0.18628571428571</v>
      </c>
      <c r="P35" s="11">
        <f>SUM(P32,P29,P26,P23,P20,P17,P14,P11)</f>
        <v>229</v>
      </c>
      <c r="Q35" s="9">
        <f>IF(P35="","",IF($D35=0,0,P35/$D35))</f>
        <v>0.26171428571429</v>
      </c>
      <c r="R35" s="11">
        <f>SUM(R32,R29,R26,R23,R20,R17,R14,R11)</f>
        <v>215</v>
      </c>
      <c r="S35" s="9">
        <f>IF(R35="","",IF($D35=0,0,R35/$D35))</f>
        <v>0.24571428571429</v>
      </c>
      <c r="T35" s="49">
        <f>SUM(T32,T29,T26,T23,T20,T17,T14,T11)</f>
        <v>206</v>
      </c>
      <c r="U35" s="9">
        <f>IF(T35="","",IF($D35=0,0,T35/$D35))</f>
        <v>0.23542857142857</v>
      </c>
      <c r="V35" s="49">
        <f>SUM(V32,V29,V26,V23,V20,V17,V14,V11)</f>
        <v>225</v>
      </c>
      <c r="W35" s="9">
        <f>IF(V35="","",IF($D35=0,0,V35/$D35))</f>
        <v>0.25714285714286</v>
      </c>
      <c r="X35" s="49">
        <f>SUM(X32,X29,X26,X23,X20,X17,X14,X11)</f>
        <v>875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1795</v>
      </c>
      <c r="D36" s="40">
        <f>SUM(D34:D35)</f>
        <v>1795</v>
      </c>
      <c r="E36" s="41">
        <f>D36/$C36</f>
        <v>1</v>
      </c>
      <c r="F36" s="40">
        <f>SUM(F34:F35)</f>
        <v>321</v>
      </c>
      <c r="G36" s="41">
        <f>IF(F36="","",IF($D36=0,0,F36/$D36))</f>
        <v>0.17883008356546</v>
      </c>
      <c r="H36" s="46">
        <f>SUM(H34:H35)</f>
        <v>347</v>
      </c>
      <c r="I36" s="41">
        <f>IF(H36="","",IF($D36=0,0,H36/$D36))</f>
        <v>0.1933147632312</v>
      </c>
      <c r="J36" s="46">
        <f>SUM(J34:J35)</f>
        <v>390</v>
      </c>
      <c r="K36" s="41">
        <f>IF(J36="","",IF($D36=0,0,J36/$D36))</f>
        <v>0.21727019498607</v>
      </c>
      <c r="L36" s="46">
        <f>SUM(L34:L35)</f>
        <v>380</v>
      </c>
      <c r="M36" s="41">
        <f>IF(L36="","",IF($D36=0,0,L36/$D36))</f>
        <v>0.2116991643454</v>
      </c>
      <c r="N36" s="46">
        <f>SUM(N34:N35)</f>
        <v>357</v>
      </c>
      <c r="O36" s="48">
        <f>IF(N36="","",IF($D36=0,0,N36/$D36))</f>
        <v>0.19888579387187</v>
      </c>
      <c r="P36" s="46">
        <f>SUM(P34:P35)</f>
        <v>448</v>
      </c>
      <c r="Q36" s="41">
        <f>IF(P36="","",IF($D36=0,0,P36/$D36))</f>
        <v>0.24958217270195</v>
      </c>
      <c r="R36" s="46">
        <f>SUM(R34:R35)</f>
        <v>446</v>
      </c>
      <c r="S36" s="41">
        <f>IF(R36="","",IF($D36=0,0,R36/$D36))</f>
        <v>0.24846796657382</v>
      </c>
      <c r="T36" s="46">
        <f>SUM(T34:T35)</f>
        <v>450</v>
      </c>
      <c r="U36" s="41">
        <f>IF(T36="","",IF($D36=0,0,T36/$D36))</f>
        <v>0.25069637883008</v>
      </c>
      <c r="V36" s="46">
        <f>SUM(V34:V35)</f>
        <v>451</v>
      </c>
      <c r="W36" s="41">
        <f>IF(V36="","",IF($D36=0,0,V36/$D36))</f>
        <v>0.25125348189415</v>
      </c>
      <c r="X36" s="46">
        <f>SUM(X34:X35)</f>
        <v>1795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34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35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36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37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38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Roberto Tupas</cp:lastModifiedBy>
  <dcterms:created xsi:type="dcterms:W3CDTF">2026-01-22T06:36:20+00:00</dcterms:created>
  <dcterms:modified xsi:type="dcterms:W3CDTF">2026-06-19T21:11:43+00:00</dcterms:modified>
  <dc:title/>
  <dc:description/>
  <dc:subject/>
  <cp:keywords/>
  <cp:category/>
</cp:coreProperties>
</file>