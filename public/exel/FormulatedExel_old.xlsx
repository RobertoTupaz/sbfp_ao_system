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xampp\htdocs\sbfp_ao_system\public\exel\"/>
    </mc:Choice>
  </mc:AlternateContent>
  <xr:revisionPtr revIDLastSave="0" documentId="13_ncr:1_{9FA9BF80-C304-4FA2-9446-79E0BC371632}" xr6:coauthVersionLast="47" xr6:coauthVersionMax="47" xr10:uidLastSave="{00000000-0000-0000-0000-000000000000}"/>
  <bookViews>
    <workbookView xWindow="-110" yWindow="-110" windowWidth="19420" windowHeight="10300" xr2:uid="{00000000-000D-0000-FFFF-FFFF00000000}"/>
  </bookViews>
  <sheets>
    <sheet name="Baseline" sheetId="4" r:id="rId1"/>
    <sheet name="Form2" sheetId="5" r:id="rId2"/>
    <sheet name="M_PES" sheetId="8" r:id="rId3"/>
    <sheet name="F1_B" sheetId="10" r:id="rId4"/>
    <sheet name="F1_M" sheetId="11" r:id="rId5"/>
  </sheets>
  <definedNames>
    <definedName name="_xlnm.Print_Area" localSheetId="0">Baseline!$A$1:$AA$61</definedName>
    <definedName name="_xlnm.Print_Area" localSheetId="1">Form2!$A$1:$S$47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4" i="8" l="1"/>
  <c r="F35" i="8"/>
  <c r="H13" i="8"/>
  <c r="F22" i="8"/>
  <c r="H14" i="8"/>
  <c r="J35" i="8"/>
  <c r="F19" i="8"/>
  <c r="H16" i="8"/>
  <c r="H17" i="8"/>
  <c r="F31" i="8"/>
  <c r="F16" i="8"/>
  <c r="F28" i="8"/>
  <c r="F25" i="8"/>
  <c r="C13" i="8"/>
  <c r="C14" i="8"/>
  <c r="C16" i="8"/>
  <c r="C17" i="8"/>
  <c r="C19" i="8"/>
  <c r="C20" i="8"/>
  <c r="C22" i="8"/>
  <c r="C23" i="8"/>
  <c r="C25" i="8"/>
  <c r="C26" i="8"/>
  <c r="C28" i="8"/>
  <c r="C29" i="8"/>
  <c r="C31" i="8"/>
  <c r="C32" i="8"/>
  <c r="C34" i="8"/>
  <c r="C35" i="8"/>
  <c r="D13" i="8"/>
  <c r="D14" i="8"/>
  <c r="D16" i="8"/>
  <c r="D17" i="8"/>
  <c r="D19" i="8"/>
  <c r="D20" i="8"/>
  <c r="D22" i="8"/>
  <c r="D23" i="8"/>
  <c r="D25" i="8"/>
  <c r="D26" i="8"/>
  <c r="D28" i="8"/>
  <c r="D29" i="8"/>
  <c r="D31" i="8"/>
  <c r="D32" i="8"/>
  <c r="D34" i="8"/>
  <c r="D35" i="8"/>
  <c r="E13" i="8"/>
  <c r="E14" i="8"/>
  <c r="E16" i="8"/>
  <c r="E17" i="8"/>
  <c r="E19" i="8"/>
  <c r="E20" i="8"/>
  <c r="E22" i="8"/>
  <c r="E23" i="8"/>
  <c r="E25" i="8"/>
  <c r="E26" i="8"/>
  <c r="E28" i="8"/>
  <c r="E29" i="8"/>
  <c r="E31" i="8"/>
  <c r="E32" i="8"/>
  <c r="E34" i="8"/>
  <c r="E35" i="8"/>
  <c r="F13" i="8"/>
  <c r="F14" i="8"/>
  <c r="F17" i="8"/>
  <c r="F20" i="8"/>
  <c r="F23" i="8"/>
  <c r="F24" i="8" s="1"/>
  <c r="F26" i="8"/>
  <c r="F29" i="8"/>
  <c r="F30" i="8" s="1"/>
  <c r="F32" i="8"/>
  <c r="F33" i="8" s="1"/>
  <c r="G13" i="8"/>
  <c r="G14" i="8"/>
  <c r="G16" i="8"/>
  <c r="G17" i="8"/>
  <c r="G19" i="8"/>
  <c r="G20" i="8"/>
  <c r="G22" i="8"/>
  <c r="G23" i="8"/>
  <c r="G25" i="8"/>
  <c r="G26" i="8"/>
  <c r="G28" i="8"/>
  <c r="G29" i="8"/>
  <c r="G31" i="8"/>
  <c r="G32" i="8"/>
  <c r="G34" i="8"/>
  <c r="G35" i="8"/>
  <c r="H19" i="8"/>
  <c r="H20" i="8"/>
  <c r="H22" i="8"/>
  <c r="H23" i="8"/>
  <c r="H25" i="8"/>
  <c r="H26" i="8"/>
  <c r="H28" i="8"/>
  <c r="H29" i="8"/>
  <c r="H31" i="8"/>
  <c r="H32" i="8"/>
  <c r="H34" i="8"/>
  <c r="H35" i="8"/>
  <c r="I13" i="8"/>
  <c r="I14" i="8"/>
  <c r="I16" i="8"/>
  <c r="I17" i="8"/>
  <c r="I19" i="8"/>
  <c r="I20" i="8"/>
  <c r="I22" i="8"/>
  <c r="I23" i="8"/>
  <c r="I25" i="8"/>
  <c r="I26" i="8"/>
  <c r="I28" i="8"/>
  <c r="I29" i="8"/>
  <c r="I31" i="8"/>
  <c r="I32" i="8"/>
  <c r="I34" i="8"/>
  <c r="I35" i="8"/>
  <c r="J13" i="8"/>
  <c r="J14" i="8"/>
  <c r="J16" i="8"/>
  <c r="J17" i="8"/>
  <c r="J19" i="8"/>
  <c r="J20" i="8"/>
  <c r="J22" i="8"/>
  <c r="J23" i="8"/>
  <c r="J25" i="8"/>
  <c r="J26" i="8"/>
  <c r="J28" i="8"/>
  <c r="J29" i="8"/>
  <c r="J31" i="8"/>
  <c r="J32" i="8"/>
  <c r="J34" i="8"/>
  <c r="I52" i="4"/>
  <c r="I53" i="4"/>
  <c r="F21" i="8" l="1"/>
  <c r="J36" i="8"/>
  <c r="H18" i="8"/>
  <c r="F27" i="8"/>
  <c r="H15" i="8"/>
  <c r="F36" i="8"/>
  <c r="G15" i="8"/>
  <c r="G33" i="8"/>
  <c r="G21" i="8"/>
  <c r="E33" i="8"/>
  <c r="E21" i="8"/>
  <c r="D33" i="8"/>
  <c r="F37" i="8"/>
  <c r="G27" i="8"/>
  <c r="F15" i="8"/>
  <c r="E27" i="8"/>
  <c r="E15" i="8"/>
  <c r="D27" i="8"/>
  <c r="D15" i="8"/>
  <c r="C27" i="8"/>
  <c r="D21" i="8"/>
  <c r="C21" i="8"/>
  <c r="I21" i="8"/>
  <c r="H21" i="8"/>
  <c r="C15" i="8"/>
  <c r="D37" i="8"/>
  <c r="F18" i="8"/>
  <c r="C18" i="8"/>
  <c r="H38" i="8"/>
  <c r="J33" i="8"/>
  <c r="I33" i="8"/>
  <c r="H33" i="8"/>
  <c r="J21" i="8"/>
  <c r="J18" i="8"/>
  <c r="I30" i="8"/>
  <c r="I18" i="8"/>
  <c r="H27" i="8"/>
  <c r="C37" i="8"/>
  <c r="J38" i="8"/>
  <c r="I38" i="8"/>
  <c r="H30" i="8"/>
  <c r="G36" i="8"/>
  <c r="G24" i="8"/>
  <c r="E36" i="8"/>
  <c r="E24" i="8"/>
  <c r="D36" i="8"/>
  <c r="D24" i="8"/>
  <c r="C36" i="8"/>
  <c r="C24" i="8"/>
  <c r="E37" i="8"/>
  <c r="J27" i="8"/>
  <c r="J37" i="8"/>
  <c r="I27" i="8"/>
  <c r="I15" i="8"/>
  <c r="C33" i="8"/>
  <c r="J30" i="8"/>
  <c r="J24" i="8"/>
  <c r="I36" i="8"/>
  <c r="I24" i="8"/>
  <c r="J15" i="8"/>
  <c r="I37" i="8"/>
  <c r="H36" i="8"/>
  <c r="H24" i="8"/>
  <c r="G30" i="8"/>
  <c r="G18" i="8"/>
  <c r="E30" i="8"/>
  <c r="E18" i="8"/>
  <c r="D30" i="8"/>
  <c r="D18" i="8"/>
  <c r="C30" i="8"/>
  <c r="H37" i="8"/>
  <c r="G38" i="8"/>
  <c r="F38" i="8"/>
  <c r="E38" i="8"/>
  <c r="D38" i="8"/>
  <c r="C38" i="8"/>
  <c r="G37" i="8"/>
  <c r="F39" i="8" l="1"/>
  <c r="D39" i="8"/>
  <c r="C39" i="8"/>
  <c r="H39" i="8"/>
  <c r="G39" i="8"/>
  <c r="E39" i="8"/>
  <c r="J39" i="8"/>
  <c r="I39" i="8"/>
  <c r="I50" i="4"/>
  <c r="I49" i="4"/>
  <c r="F50" i="4"/>
  <c r="F49" i="4"/>
  <c r="N39" i="8" l="1"/>
  <c r="M39" i="8"/>
  <c r="H44" i="4"/>
  <c r="H43" i="4"/>
  <c r="G44" i="4"/>
  <c r="G43" i="4"/>
  <c r="O40" i="4" l="1"/>
  <c r="O10" i="4"/>
  <c r="O9" i="4"/>
  <c r="O8" i="4"/>
  <c r="J50" i="4" l="1"/>
  <c r="J49" i="4"/>
  <c r="E50" i="4"/>
  <c r="E49" i="4"/>
  <c r="F53" i="4"/>
  <c r="F52" i="4"/>
  <c r="J53" i="4"/>
  <c r="J52" i="4"/>
  <c r="E53" i="4" l="1"/>
  <c r="E52" i="4"/>
  <c r="F44" i="4"/>
  <c r="E44" i="4"/>
  <c r="F43" i="4"/>
  <c r="E43" i="4"/>
  <c r="F15" i="5" l="1"/>
  <c r="F14" i="5"/>
  <c r="F11" i="4"/>
  <c r="F10" i="4"/>
  <c r="J15" i="5" l="1"/>
  <c r="I15" i="5"/>
  <c r="H15" i="5"/>
  <c r="G15" i="5"/>
  <c r="E15" i="5"/>
  <c r="D15" i="5"/>
  <c r="C15" i="5"/>
  <c r="J14" i="5"/>
  <c r="I14" i="5"/>
  <c r="H14" i="5"/>
  <c r="G14" i="5"/>
  <c r="E14" i="5"/>
  <c r="D14" i="5"/>
  <c r="C14" i="5"/>
  <c r="J11" i="4"/>
  <c r="I11" i="4"/>
  <c r="H11" i="4"/>
  <c r="G11" i="4"/>
  <c r="E11" i="4"/>
  <c r="D11" i="4"/>
  <c r="C11" i="4"/>
  <c r="J10" i="4"/>
  <c r="I10" i="4"/>
  <c r="H10" i="4"/>
  <c r="G10" i="4"/>
  <c r="E10" i="4"/>
  <c r="D10" i="4"/>
  <c r="C10" i="4"/>
  <c r="J32" i="4"/>
  <c r="I32" i="4"/>
  <c r="H32" i="4"/>
  <c r="G32" i="4"/>
  <c r="D32" i="4"/>
  <c r="C32" i="4"/>
  <c r="J31" i="4"/>
  <c r="I31" i="4"/>
  <c r="H31" i="4"/>
  <c r="G31" i="4"/>
  <c r="D31" i="4"/>
  <c r="C31" i="4"/>
  <c r="J29" i="4"/>
  <c r="I29" i="4"/>
  <c r="H29" i="4"/>
  <c r="G29" i="4"/>
  <c r="D29" i="4"/>
  <c r="C29" i="4"/>
  <c r="J28" i="4"/>
  <c r="I28" i="4"/>
  <c r="H28" i="4"/>
  <c r="G28" i="4"/>
  <c r="D28" i="4"/>
  <c r="C28" i="4"/>
  <c r="J26" i="4"/>
  <c r="I26" i="4"/>
  <c r="H26" i="4"/>
  <c r="G26" i="4"/>
  <c r="D26" i="4"/>
  <c r="C26" i="4"/>
  <c r="J25" i="4"/>
  <c r="I25" i="4"/>
  <c r="H25" i="4"/>
  <c r="G25" i="4"/>
  <c r="D25" i="4"/>
  <c r="C25" i="4"/>
  <c r="J23" i="4"/>
  <c r="I23" i="4"/>
  <c r="H23" i="4"/>
  <c r="G23" i="4"/>
  <c r="D23" i="4"/>
  <c r="C23" i="4"/>
  <c r="J22" i="4"/>
  <c r="I22" i="4"/>
  <c r="H22" i="4"/>
  <c r="G22" i="4"/>
  <c r="D22" i="4"/>
  <c r="C22" i="4"/>
  <c r="J20" i="4"/>
  <c r="I20" i="4"/>
  <c r="H20" i="4"/>
  <c r="G20" i="4"/>
  <c r="D20" i="4"/>
  <c r="C20" i="4"/>
  <c r="J19" i="4"/>
  <c r="I19" i="4"/>
  <c r="H19" i="4"/>
  <c r="G19" i="4"/>
  <c r="D19" i="4"/>
  <c r="C19" i="4"/>
  <c r="J17" i="4"/>
  <c r="I17" i="4"/>
  <c r="H17" i="4"/>
  <c r="G17" i="4"/>
  <c r="D17" i="4"/>
  <c r="C17" i="4"/>
  <c r="J16" i="4"/>
  <c r="I16" i="4"/>
  <c r="H16" i="4"/>
  <c r="G16" i="4"/>
  <c r="D16" i="4"/>
  <c r="C16" i="4"/>
  <c r="J14" i="4"/>
  <c r="I14" i="4"/>
  <c r="H14" i="4"/>
  <c r="G14" i="4"/>
  <c r="D14" i="4"/>
  <c r="C14" i="4"/>
  <c r="J13" i="4"/>
  <c r="I13" i="4"/>
  <c r="H13" i="4"/>
  <c r="G13" i="4"/>
  <c r="D13" i="4"/>
  <c r="C13" i="4"/>
  <c r="N36" i="5"/>
  <c r="M36" i="5"/>
  <c r="N35" i="5"/>
  <c r="M35" i="5"/>
  <c r="N33" i="5"/>
  <c r="M33" i="5"/>
  <c r="N32" i="5"/>
  <c r="M32" i="5"/>
  <c r="N30" i="5"/>
  <c r="M30" i="5"/>
  <c r="N29" i="5"/>
  <c r="M29" i="5"/>
  <c r="N27" i="5"/>
  <c r="M27" i="5"/>
  <c r="N26" i="5"/>
  <c r="M26" i="5"/>
  <c r="N24" i="5"/>
  <c r="M24" i="5"/>
  <c r="N23" i="5"/>
  <c r="M23" i="5"/>
  <c r="N21" i="5"/>
  <c r="M21" i="5"/>
  <c r="N20" i="5"/>
  <c r="M20" i="5"/>
  <c r="N18" i="5"/>
  <c r="M18" i="5"/>
  <c r="N17" i="5"/>
  <c r="M17" i="5"/>
  <c r="L36" i="5"/>
  <c r="J36" i="5"/>
  <c r="I36" i="5"/>
  <c r="H36" i="5"/>
  <c r="G36" i="5"/>
  <c r="L35" i="5"/>
  <c r="J35" i="5"/>
  <c r="I35" i="5"/>
  <c r="H35" i="5"/>
  <c r="G35" i="5"/>
  <c r="L33" i="5"/>
  <c r="J33" i="5"/>
  <c r="I33" i="5"/>
  <c r="H33" i="5"/>
  <c r="G33" i="5"/>
  <c r="L32" i="5"/>
  <c r="J32" i="5"/>
  <c r="I32" i="5"/>
  <c r="H32" i="5"/>
  <c r="G32" i="5"/>
  <c r="L30" i="5"/>
  <c r="J30" i="5"/>
  <c r="I30" i="5"/>
  <c r="H30" i="5"/>
  <c r="G30" i="5"/>
  <c r="L29" i="5"/>
  <c r="J29" i="5"/>
  <c r="I29" i="5"/>
  <c r="H29" i="5"/>
  <c r="G29" i="5"/>
  <c r="L27" i="5"/>
  <c r="J27" i="5"/>
  <c r="I27" i="5"/>
  <c r="H27" i="5"/>
  <c r="G27" i="5"/>
  <c r="L26" i="5"/>
  <c r="J26" i="5"/>
  <c r="I26" i="5"/>
  <c r="H26" i="5"/>
  <c r="G26" i="5"/>
  <c r="L24" i="5"/>
  <c r="J24" i="5"/>
  <c r="I24" i="5"/>
  <c r="H24" i="5"/>
  <c r="G24" i="5"/>
  <c r="L23" i="5"/>
  <c r="J23" i="5"/>
  <c r="I23" i="5"/>
  <c r="H23" i="5"/>
  <c r="G23" i="5"/>
  <c r="L21" i="5"/>
  <c r="J21" i="5"/>
  <c r="I21" i="5"/>
  <c r="H21" i="5"/>
  <c r="G21" i="5"/>
  <c r="L20" i="5"/>
  <c r="J20" i="5"/>
  <c r="I20" i="5"/>
  <c r="H20" i="5"/>
  <c r="G20" i="5"/>
  <c r="L18" i="5"/>
  <c r="J18" i="5"/>
  <c r="I18" i="5"/>
  <c r="H18" i="5"/>
  <c r="G18" i="5"/>
  <c r="L17" i="5"/>
  <c r="J17" i="5"/>
  <c r="I17" i="5"/>
  <c r="H17" i="5"/>
  <c r="G17" i="5"/>
  <c r="F36" i="5"/>
  <c r="E36" i="5"/>
  <c r="D36" i="5"/>
  <c r="C36" i="5"/>
  <c r="F35" i="5"/>
  <c r="E35" i="5"/>
  <c r="D35" i="5"/>
  <c r="C35" i="5"/>
  <c r="F33" i="5"/>
  <c r="E33" i="5"/>
  <c r="D33" i="5"/>
  <c r="C33" i="5"/>
  <c r="F32" i="5"/>
  <c r="E32" i="5"/>
  <c r="D32" i="5"/>
  <c r="C32" i="5"/>
  <c r="F30" i="5"/>
  <c r="E30" i="5"/>
  <c r="D30" i="5"/>
  <c r="C30" i="5"/>
  <c r="F29" i="5"/>
  <c r="E29" i="5"/>
  <c r="D29" i="5"/>
  <c r="C29" i="5"/>
  <c r="F27" i="5"/>
  <c r="E27" i="5"/>
  <c r="D27" i="5"/>
  <c r="C27" i="5"/>
  <c r="F26" i="5"/>
  <c r="E26" i="5"/>
  <c r="D26" i="5"/>
  <c r="C26" i="5"/>
  <c r="F24" i="5"/>
  <c r="E24" i="5"/>
  <c r="D24" i="5"/>
  <c r="C24" i="5"/>
  <c r="F23" i="5"/>
  <c r="E23" i="5"/>
  <c r="D23" i="5"/>
  <c r="C23" i="5"/>
  <c r="F21" i="5"/>
  <c r="E21" i="5"/>
  <c r="D21" i="5"/>
  <c r="C21" i="5"/>
  <c r="F20" i="5"/>
  <c r="E20" i="5"/>
  <c r="D20" i="5"/>
  <c r="C20" i="5"/>
  <c r="F18" i="5"/>
  <c r="E18" i="5"/>
  <c r="D18" i="5"/>
  <c r="C18" i="5"/>
  <c r="F17" i="5"/>
  <c r="E17" i="5"/>
  <c r="D17" i="5"/>
  <c r="C17" i="5"/>
  <c r="O1" i="4" l="1"/>
  <c r="N22" i="5" l="1"/>
  <c r="M22" i="5"/>
  <c r="J39" i="5" l="1"/>
  <c r="J38" i="5"/>
  <c r="I39" i="5"/>
  <c r="H39" i="5"/>
  <c r="H38" i="5"/>
  <c r="I38" i="5"/>
  <c r="G39" i="5"/>
  <c r="G38" i="5"/>
  <c r="F39" i="5"/>
  <c r="F38" i="5"/>
  <c r="E39" i="5"/>
  <c r="E38" i="5"/>
  <c r="D39" i="5"/>
  <c r="D38" i="5"/>
  <c r="C39" i="5"/>
  <c r="C38" i="5"/>
  <c r="R39" i="5"/>
  <c r="Q39" i="5"/>
  <c r="P39" i="5"/>
  <c r="O39" i="5"/>
  <c r="N39" i="5"/>
  <c r="M39" i="5"/>
  <c r="L39" i="5"/>
  <c r="K39" i="5"/>
  <c r="R38" i="5"/>
  <c r="Q38" i="5"/>
  <c r="P38" i="5"/>
  <c r="O38" i="5"/>
  <c r="N38" i="5"/>
  <c r="M38" i="5"/>
  <c r="L38" i="5"/>
  <c r="K38" i="5"/>
  <c r="R37" i="5"/>
  <c r="Q37" i="5"/>
  <c r="P37" i="5"/>
  <c r="O37" i="5"/>
  <c r="N37" i="5"/>
  <c r="M37" i="5"/>
  <c r="L37" i="5"/>
  <c r="K37" i="5"/>
  <c r="J37" i="5"/>
  <c r="I37" i="5"/>
  <c r="H37" i="5"/>
  <c r="G37" i="5"/>
  <c r="F37" i="5"/>
  <c r="E37" i="5"/>
  <c r="D37" i="5"/>
  <c r="C37" i="5"/>
  <c r="V36" i="5"/>
  <c r="U36" i="5"/>
  <c r="V35" i="5"/>
  <c r="U35" i="5"/>
  <c r="R34" i="5"/>
  <c r="Q34" i="5"/>
  <c r="P34" i="5"/>
  <c r="O34" i="5"/>
  <c r="N34" i="5"/>
  <c r="M34" i="5"/>
  <c r="L34" i="5"/>
  <c r="K34" i="5"/>
  <c r="J34" i="5"/>
  <c r="I34" i="5"/>
  <c r="H34" i="5"/>
  <c r="G34" i="5"/>
  <c r="F34" i="5"/>
  <c r="E34" i="5"/>
  <c r="D34" i="5"/>
  <c r="C34" i="5"/>
  <c r="V33" i="5"/>
  <c r="U33" i="5"/>
  <c r="V32" i="5"/>
  <c r="U32" i="5"/>
  <c r="R31" i="5"/>
  <c r="Q31" i="5"/>
  <c r="P31" i="5"/>
  <c r="O31" i="5"/>
  <c r="N31" i="5"/>
  <c r="M31" i="5"/>
  <c r="L31" i="5"/>
  <c r="K31" i="5"/>
  <c r="J31" i="5"/>
  <c r="I31" i="5"/>
  <c r="H31" i="5"/>
  <c r="G31" i="5"/>
  <c r="F31" i="5"/>
  <c r="E31" i="5"/>
  <c r="D31" i="5"/>
  <c r="C31" i="5"/>
  <c r="V30" i="5"/>
  <c r="U30" i="5"/>
  <c r="V29" i="5"/>
  <c r="U29" i="5"/>
  <c r="R28" i="5"/>
  <c r="Q28" i="5"/>
  <c r="P28" i="5"/>
  <c r="O28" i="5"/>
  <c r="N28" i="5"/>
  <c r="M28" i="5"/>
  <c r="L28" i="5"/>
  <c r="K28" i="5"/>
  <c r="J28" i="5"/>
  <c r="I28" i="5"/>
  <c r="H28" i="5"/>
  <c r="G28" i="5"/>
  <c r="F28" i="5"/>
  <c r="E28" i="5"/>
  <c r="D28" i="5"/>
  <c r="C28" i="5"/>
  <c r="V27" i="5"/>
  <c r="U27" i="5"/>
  <c r="V26" i="5"/>
  <c r="U26" i="5"/>
  <c r="R25" i="5"/>
  <c r="Q25" i="5"/>
  <c r="P25" i="5"/>
  <c r="O25" i="5"/>
  <c r="N25" i="5"/>
  <c r="M25" i="5"/>
  <c r="L25" i="5"/>
  <c r="K25" i="5"/>
  <c r="J25" i="5"/>
  <c r="I25" i="5"/>
  <c r="H25" i="5"/>
  <c r="G25" i="5"/>
  <c r="F25" i="5"/>
  <c r="E25" i="5"/>
  <c r="D25" i="5"/>
  <c r="C25" i="5"/>
  <c r="V24" i="5"/>
  <c r="U24" i="5"/>
  <c r="V23" i="5"/>
  <c r="U23" i="5"/>
  <c r="R22" i="5"/>
  <c r="Q22" i="5"/>
  <c r="P22" i="5"/>
  <c r="O22" i="5"/>
  <c r="L22" i="5"/>
  <c r="K22" i="5"/>
  <c r="J22" i="5"/>
  <c r="I22" i="5"/>
  <c r="H22" i="5"/>
  <c r="G22" i="5"/>
  <c r="F22" i="5"/>
  <c r="E22" i="5"/>
  <c r="D22" i="5"/>
  <c r="C22" i="5"/>
  <c r="V21" i="5"/>
  <c r="U21" i="5"/>
  <c r="V20" i="5"/>
  <c r="U20" i="5"/>
  <c r="R19" i="5"/>
  <c r="Q19" i="5"/>
  <c r="P19" i="5"/>
  <c r="O19" i="5"/>
  <c r="N19" i="5"/>
  <c r="M19" i="5"/>
  <c r="L19" i="5"/>
  <c r="K19" i="5"/>
  <c r="J19" i="5"/>
  <c r="I19" i="5"/>
  <c r="H19" i="5"/>
  <c r="G19" i="5"/>
  <c r="F19" i="5"/>
  <c r="E19" i="5"/>
  <c r="C19" i="5"/>
  <c r="V18" i="5"/>
  <c r="V17" i="5"/>
  <c r="R16" i="5"/>
  <c r="Q16" i="5"/>
  <c r="P16" i="5"/>
  <c r="O16" i="5"/>
  <c r="N16" i="5"/>
  <c r="M16" i="5"/>
  <c r="L16" i="5"/>
  <c r="K16" i="5"/>
  <c r="J16" i="5" l="1"/>
  <c r="J40" i="5" s="1"/>
  <c r="V14" i="5"/>
  <c r="V28" i="5"/>
  <c r="D16" i="5"/>
  <c r="H16" i="5"/>
  <c r="H40" i="5" s="1"/>
  <c r="E16" i="5"/>
  <c r="E40" i="5" s="1"/>
  <c r="K40" i="5"/>
  <c r="M40" i="5"/>
  <c r="R40" i="5"/>
  <c r="Q40" i="5"/>
  <c r="P40" i="5"/>
  <c r="N40" i="5"/>
  <c r="O40" i="5"/>
  <c r="L40" i="5"/>
  <c r="V37" i="5"/>
  <c r="V31" i="5"/>
  <c r="V25" i="5"/>
  <c r="V19" i="5"/>
  <c r="V34" i="5"/>
  <c r="V22" i="5"/>
  <c r="U22" i="5"/>
  <c r="U34" i="5"/>
  <c r="U31" i="5"/>
  <c r="U28" i="5"/>
  <c r="U25" i="5"/>
  <c r="U37" i="5"/>
  <c r="U18" i="5"/>
  <c r="D19" i="5"/>
  <c r="U17" i="5"/>
  <c r="V15" i="5"/>
  <c r="I16" i="5"/>
  <c r="I40" i="5" s="1"/>
  <c r="V39" i="5"/>
  <c r="V38" i="5"/>
  <c r="G16" i="5"/>
  <c r="G40" i="5" s="1"/>
  <c r="F16" i="5"/>
  <c r="F40" i="5" s="1"/>
  <c r="U39" i="5"/>
  <c r="U38" i="5"/>
  <c r="U15" i="5"/>
  <c r="U14" i="5"/>
  <c r="C16" i="5"/>
  <c r="C40" i="5" s="1"/>
  <c r="U16" i="5" l="1"/>
  <c r="V16" i="5"/>
  <c r="D40" i="5"/>
  <c r="U40" i="5" s="1"/>
  <c r="V40" i="5"/>
  <c r="U19" i="5"/>
  <c r="E18" i="4"/>
  <c r="Q53" i="4" l="1"/>
  <c r="R53" i="4"/>
  <c r="S53" i="4"/>
  <c r="T53" i="4"/>
  <c r="U53" i="4"/>
  <c r="V53" i="4"/>
  <c r="W53" i="4"/>
  <c r="X53" i="4"/>
  <c r="R52" i="4"/>
  <c r="S52" i="4"/>
  <c r="T52" i="4"/>
  <c r="U52" i="4"/>
  <c r="V52" i="4"/>
  <c r="W52" i="4"/>
  <c r="X52" i="4"/>
  <c r="Q52" i="4"/>
  <c r="Q50" i="4"/>
  <c r="R50" i="4"/>
  <c r="S50" i="4"/>
  <c r="T50" i="4"/>
  <c r="U50" i="4"/>
  <c r="V50" i="4"/>
  <c r="W50" i="4"/>
  <c r="X50" i="4"/>
  <c r="R49" i="4"/>
  <c r="S49" i="4"/>
  <c r="T49" i="4"/>
  <c r="U49" i="4"/>
  <c r="V49" i="4"/>
  <c r="W49" i="4"/>
  <c r="X49" i="4"/>
  <c r="Q49" i="4"/>
  <c r="Q47" i="4"/>
  <c r="R47" i="4"/>
  <c r="S47" i="4"/>
  <c r="T47" i="4"/>
  <c r="U47" i="4"/>
  <c r="V47" i="4"/>
  <c r="W47" i="4"/>
  <c r="X47" i="4"/>
  <c r="R46" i="4"/>
  <c r="S46" i="4"/>
  <c r="T46" i="4"/>
  <c r="U46" i="4"/>
  <c r="V46" i="4"/>
  <c r="W46" i="4"/>
  <c r="X46" i="4"/>
  <c r="Q46" i="4"/>
  <c r="Q44" i="4"/>
  <c r="R44" i="4"/>
  <c r="R43" i="4"/>
  <c r="Q43" i="4"/>
  <c r="Q41" i="4"/>
  <c r="R41" i="4"/>
  <c r="S41" i="4"/>
  <c r="T41" i="4"/>
  <c r="U41" i="4"/>
  <c r="V41" i="4"/>
  <c r="W41" i="4"/>
  <c r="X41" i="4"/>
  <c r="R40" i="4"/>
  <c r="S40" i="4"/>
  <c r="T40" i="4"/>
  <c r="U40" i="4"/>
  <c r="V40" i="4"/>
  <c r="W40" i="4"/>
  <c r="X40" i="4"/>
  <c r="Q40" i="4"/>
  <c r="L52" i="4"/>
  <c r="L46" i="4"/>
  <c r="L47" i="4"/>
  <c r="S44" i="4"/>
  <c r="S43" i="4"/>
  <c r="T44" i="4"/>
  <c r="T43" i="4"/>
  <c r="X44" i="4"/>
  <c r="X43" i="4"/>
  <c r="W44" i="4"/>
  <c r="W43" i="4"/>
  <c r="V44" i="4"/>
  <c r="V43" i="4"/>
  <c r="U44" i="4"/>
  <c r="U43" i="4"/>
  <c r="T29" i="4"/>
  <c r="T28" i="4"/>
  <c r="T26" i="4"/>
  <c r="T25" i="4"/>
  <c r="T23" i="4"/>
  <c r="T22" i="4"/>
  <c r="T20" i="4"/>
  <c r="T19" i="4"/>
  <c r="T17" i="4"/>
  <c r="T16" i="4"/>
  <c r="T14" i="4"/>
  <c r="T13" i="4"/>
  <c r="T11" i="4"/>
  <c r="T10" i="4"/>
  <c r="W32" i="4"/>
  <c r="X32" i="4"/>
  <c r="X31" i="4"/>
  <c r="X29" i="4"/>
  <c r="X28" i="4"/>
  <c r="X26" i="4"/>
  <c r="X25" i="4"/>
  <c r="X23" i="4"/>
  <c r="X22" i="4"/>
  <c r="X17" i="4"/>
  <c r="X16" i="4"/>
  <c r="W17" i="4"/>
  <c r="W16" i="4"/>
  <c r="W31" i="4"/>
  <c r="W29" i="4"/>
  <c r="W28" i="4"/>
  <c r="W26" i="4"/>
  <c r="W25" i="4"/>
  <c r="W23" i="4"/>
  <c r="W22" i="4"/>
  <c r="X20" i="4"/>
  <c r="W20" i="4"/>
  <c r="W19" i="4"/>
  <c r="X19" i="4"/>
  <c r="V10" i="4"/>
  <c r="U10" i="4"/>
  <c r="U11" i="4"/>
  <c r="V11" i="4"/>
  <c r="W10" i="4"/>
  <c r="W11" i="4"/>
  <c r="X10" i="4"/>
  <c r="X11" i="4"/>
  <c r="V32" i="4" l="1"/>
  <c r="V31" i="4"/>
  <c r="V29" i="4"/>
  <c r="V28" i="4"/>
  <c r="V26" i="4"/>
  <c r="V25" i="4"/>
  <c r="V23" i="4"/>
  <c r="V22" i="4"/>
  <c r="V20" i="4"/>
  <c r="V19" i="4"/>
  <c r="V17" i="4"/>
  <c r="V16" i="4"/>
  <c r="U31" i="4"/>
  <c r="U32" i="4"/>
  <c r="U29" i="4"/>
  <c r="U26" i="4"/>
  <c r="U28" i="4"/>
  <c r="U25" i="4"/>
  <c r="U23" i="4"/>
  <c r="U22" i="4"/>
  <c r="U20" i="4"/>
  <c r="U17" i="4"/>
  <c r="U19" i="4"/>
  <c r="U16" i="4"/>
  <c r="V14" i="4"/>
  <c r="W14" i="4"/>
  <c r="X14" i="4"/>
  <c r="X13" i="4"/>
  <c r="W13" i="4"/>
  <c r="V13" i="4"/>
  <c r="U14" i="4"/>
  <c r="U13" i="4"/>
  <c r="S32" i="4"/>
  <c r="S31" i="4"/>
  <c r="S29" i="4"/>
  <c r="S28" i="4"/>
  <c r="S26" i="4"/>
  <c r="S25" i="4"/>
  <c r="S23" i="4"/>
  <c r="S22" i="4"/>
  <c r="S20" i="4"/>
  <c r="S19" i="4"/>
  <c r="S17" i="4"/>
  <c r="S16" i="4"/>
  <c r="S14" i="4"/>
  <c r="S13" i="4"/>
  <c r="T32" i="4"/>
  <c r="T31" i="4"/>
  <c r="R32" i="4"/>
  <c r="R31" i="4"/>
  <c r="R29" i="4"/>
  <c r="R28" i="4"/>
  <c r="R26" i="4"/>
  <c r="R25" i="4"/>
  <c r="R23" i="4"/>
  <c r="R22" i="4"/>
  <c r="R20" i="4"/>
  <c r="R19" i="4"/>
  <c r="R17" i="4"/>
  <c r="R16" i="4"/>
  <c r="R14" i="4"/>
  <c r="R13" i="4"/>
  <c r="L40" i="4"/>
  <c r="S11" i="4"/>
  <c r="S10" i="4"/>
  <c r="H35" i="4" l="1"/>
  <c r="H34" i="4"/>
  <c r="G21" i="4"/>
  <c r="E21" i="4"/>
  <c r="R11" i="4"/>
  <c r="R10" i="4"/>
  <c r="Q32" i="4" l="1"/>
  <c r="Q29" i="4"/>
  <c r="Q26" i="4"/>
  <c r="Q23" i="4"/>
  <c r="Q20" i="4"/>
  <c r="Q17" i="4"/>
  <c r="Q31" i="4"/>
  <c r="Q28" i="4"/>
  <c r="Q25" i="4"/>
  <c r="Q22" i="4"/>
  <c r="Q19" i="4"/>
  <c r="Q16" i="4"/>
  <c r="Q14" i="4"/>
  <c r="Q13" i="4"/>
  <c r="Q11" i="4"/>
  <c r="Q10" i="4"/>
  <c r="X56" i="4" l="1"/>
  <c r="W56" i="4"/>
  <c r="V56" i="4"/>
  <c r="U56" i="4"/>
  <c r="T56" i="4"/>
  <c r="S56" i="4"/>
  <c r="R56" i="4"/>
  <c r="Q56" i="4"/>
  <c r="J56" i="4"/>
  <c r="I56" i="4"/>
  <c r="H56" i="4"/>
  <c r="H59" i="4" s="1"/>
  <c r="G56" i="4"/>
  <c r="F56" i="4"/>
  <c r="E56" i="4"/>
  <c r="D56" i="4"/>
  <c r="C56" i="4"/>
  <c r="X55" i="4"/>
  <c r="W55" i="4"/>
  <c r="V55" i="4"/>
  <c r="U55" i="4"/>
  <c r="T55" i="4"/>
  <c r="S55" i="4"/>
  <c r="R55" i="4"/>
  <c r="R57" i="4" s="1"/>
  <c r="Q55" i="4"/>
  <c r="Q57" i="4" s="1"/>
  <c r="J55" i="4"/>
  <c r="I55" i="4"/>
  <c r="H55" i="4"/>
  <c r="G55" i="4"/>
  <c r="F55" i="4"/>
  <c r="E55" i="4"/>
  <c r="D55" i="4"/>
  <c r="C55" i="4"/>
  <c r="X54" i="4"/>
  <c r="W54" i="4"/>
  <c r="V54" i="4"/>
  <c r="U54" i="4"/>
  <c r="T54" i="4"/>
  <c r="S54" i="4"/>
  <c r="R54" i="4"/>
  <c r="Q54" i="4"/>
  <c r="J54" i="4"/>
  <c r="I54" i="4"/>
  <c r="H54" i="4"/>
  <c r="G54" i="4"/>
  <c r="F54" i="4"/>
  <c r="E54" i="4"/>
  <c r="D54" i="4"/>
  <c r="C54" i="4"/>
  <c r="AA53" i="4"/>
  <c r="Z53" i="4"/>
  <c r="M53" i="4"/>
  <c r="L53" i="4"/>
  <c r="AA52" i="4"/>
  <c r="Z52" i="4"/>
  <c r="M52" i="4"/>
  <c r="X51" i="4"/>
  <c r="W51" i="4"/>
  <c r="V51" i="4"/>
  <c r="U51" i="4"/>
  <c r="T51" i="4"/>
  <c r="S51" i="4"/>
  <c r="R51" i="4"/>
  <c r="Q51" i="4"/>
  <c r="J51" i="4"/>
  <c r="I51" i="4"/>
  <c r="H51" i="4"/>
  <c r="G51" i="4"/>
  <c r="F51" i="4"/>
  <c r="E51" i="4"/>
  <c r="D51" i="4"/>
  <c r="C51" i="4"/>
  <c r="AA50" i="4"/>
  <c r="Z50" i="4"/>
  <c r="M50" i="4"/>
  <c r="L50" i="4"/>
  <c r="AA49" i="4"/>
  <c r="Z49" i="4"/>
  <c r="M49" i="4"/>
  <c r="L49" i="4"/>
  <c r="X48" i="4"/>
  <c r="W48" i="4"/>
  <c r="V48" i="4"/>
  <c r="U48" i="4"/>
  <c r="T48" i="4"/>
  <c r="S48" i="4"/>
  <c r="R48" i="4"/>
  <c r="Q48" i="4"/>
  <c r="J48" i="4"/>
  <c r="I48" i="4"/>
  <c r="H48" i="4"/>
  <c r="G48" i="4"/>
  <c r="F48" i="4"/>
  <c r="E48" i="4"/>
  <c r="D48" i="4"/>
  <c r="C48" i="4"/>
  <c r="AA47" i="4"/>
  <c r="Z47" i="4"/>
  <c r="M47" i="4"/>
  <c r="AA46" i="4"/>
  <c r="Z46" i="4"/>
  <c r="M46" i="4"/>
  <c r="X45" i="4"/>
  <c r="W45" i="4"/>
  <c r="V45" i="4"/>
  <c r="U45" i="4"/>
  <c r="T45" i="4"/>
  <c r="S45" i="4"/>
  <c r="R45" i="4"/>
  <c r="Q45" i="4"/>
  <c r="J45" i="4"/>
  <c r="I45" i="4"/>
  <c r="H45" i="4"/>
  <c r="G45" i="4"/>
  <c r="F45" i="4"/>
  <c r="E45" i="4"/>
  <c r="D45" i="4"/>
  <c r="C45" i="4"/>
  <c r="AA44" i="4"/>
  <c r="Z44" i="4"/>
  <c r="M44" i="4"/>
  <c r="L44" i="4"/>
  <c r="AA43" i="4"/>
  <c r="Z43" i="4"/>
  <c r="M43" i="4"/>
  <c r="L43" i="4"/>
  <c r="X42" i="4"/>
  <c r="W42" i="4"/>
  <c r="V42" i="4"/>
  <c r="U42" i="4"/>
  <c r="T42" i="4"/>
  <c r="S42" i="4"/>
  <c r="R42" i="4"/>
  <c r="Q42" i="4"/>
  <c r="J42" i="4"/>
  <c r="I42" i="4"/>
  <c r="H42" i="4"/>
  <c r="G42" i="4"/>
  <c r="F42" i="4"/>
  <c r="E42" i="4"/>
  <c r="D42" i="4"/>
  <c r="C42" i="4"/>
  <c r="AA41" i="4"/>
  <c r="Z41" i="4"/>
  <c r="M41" i="4"/>
  <c r="L41" i="4"/>
  <c r="AA40" i="4"/>
  <c r="Z40" i="4"/>
  <c r="M40" i="4"/>
  <c r="X35" i="4"/>
  <c r="W35" i="4"/>
  <c r="V35" i="4"/>
  <c r="U35" i="4"/>
  <c r="T35" i="4"/>
  <c r="S35" i="4"/>
  <c r="R35" i="4"/>
  <c r="R59" i="4" s="1"/>
  <c r="Q35" i="4"/>
  <c r="J35" i="4"/>
  <c r="I35" i="4"/>
  <c r="G35" i="4"/>
  <c r="F35" i="4"/>
  <c r="E35" i="4"/>
  <c r="D35" i="4"/>
  <c r="C35" i="4"/>
  <c r="X34" i="4"/>
  <c r="W34" i="4"/>
  <c r="V34" i="4"/>
  <c r="U34" i="4"/>
  <c r="T34" i="4"/>
  <c r="S34" i="4"/>
  <c r="R34" i="4"/>
  <c r="Q34" i="4"/>
  <c r="J34" i="4"/>
  <c r="I34" i="4"/>
  <c r="G34" i="4"/>
  <c r="F34" i="4"/>
  <c r="E34" i="4"/>
  <c r="D34" i="4"/>
  <c r="C34" i="4"/>
  <c r="X33" i="4"/>
  <c r="W33" i="4"/>
  <c r="V33" i="4"/>
  <c r="U33" i="4"/>
  <c r="T33" i="4"/>
  <c r="S33" i="4"/>
  <c r="R33" i="4"/>
  <c r="Q33" i="4"/>
  <c r="J33" i="4"/>
  <c r="I33" i="4"/>
  <c r="H33" i="4"/>
  <c r="G33" i="4"/>
  <c r="F33" i="4"/>
  <c r="E33" i="4"/>
  <c r="D33" i="4"/>
  <c r="C33" i="4"/>
  <c r="AA32" i="4"/>
  <c r="Z32" i="4"/>
  <c r="M32" i="4"/>
  <c r="L32" i="4"/>
  <c r="AA31" i="4"/>
  <c r="Z31" i="4"/>
  <c r="M31" i="4"/>
  <c r="L31" i="4"/>
  <c r="X30" i="4"/>
  <c r="W30" i="4"/>
  <c r="V30" i="4"/>
  <c r="U30" i="4"/>
  <c r="T30" i="4"/>
  <c r="S30" i="4"/>
  <c r="R30" i="4"/>
  <c r="Q30" i="4"/>
  <c r="J30" i="4"/>
  <c r="I30" i="4"/>
  <c r="H30" i="4"/>
  <c r="G30" i="4"/>
  <c r="F30" i="4"/>
  <c r="E30" i="4"/>
  <c r="D30" i="4"/>
  <c r="C30" i="4"/>
  <c r="AA29" i="4"/>
  <c r="Z29" i="4"/>
  <c r="M29" i="4"/>
  <c r="L29" i="4"/>
  <c r="AA28" i="4"/>
  <c r="Z28" i="4"/>
  <c r="M28" i="4"/>
  <c r="L28" i="4"/>
  <c r="X27" i="4"/>
  <c r="W27" i="4"/>
  <c r="V27" i="4"/>
  <c r="U27" i="4"/>
  <c r="T27" i="4"/>
  <c r="S27" i="4"/>
  <c r="R27" i="4"/>
  <c r="Q27" i="4"/>
  <c r="J27" i="4"/>
  <c r="I27" i="4"/>
  <c r="H27" i="4"/>
  <c r="G27" i="4"/>
  <c r="F27" i="4"/>
  <c r="E27" i="4"/>
  <c r="D27" i="4"/>
  <c r="C27" i="4"/>
  <c r="AA26" i="4"/>
  <c r="Z26" i="4"/>
  <c r="M26" i="4"/>
  <c r="L26" i="4"/>
  <c r="AA25" i="4"/>
  <c r="Z25" i="4"/>
  <c r="M25" i="4"/>
  <c r="L25" i="4"/>
  <c r="X24" i="4"/>
  <c r="W24" i="4"/>
  <c r="V24" i="4"/>
  <c r="U24" i="4"/>
  <c r="T24" i="4"/>
  <c r="S24" i="4"/>
  <c r="R24" i="4"/>
  <c r="Q24" i="4"/>
  <c r="J24" i="4"/>
  <c r="I24" i="4"/>
  <c r="H24" i="4"/>
  <c r="G24" i="4"/>
  <c r="F24" i="4"/>
  <c r="E24" i="4"/>
  <c r="D24" i="4"/>
  <c r="C24" i="4"/>
  <c r="AA23" i="4"/>
  <c r="Z23" i="4"/>
  <c r="M23" i="4"/>
  <c r="L23" i="4"/>
  <c r="AA22" i="4"/>
  <c r="Z22" i="4"/>
  <c r="M22" i="4"/>
  <c r="L22" i="4"/>
  <c r="X21" i="4"/>
  <c r="W21" i="4"/>
  <c r="V21" i="4"/>
  <c r="U21" i="4"/>
  <c r="T21" i="4"/>
  <c r="S21" i="4"/>
  <c r="R21" i="4"/>
  <c r="Q21" i="4"/>
  <c r="J21" i="4"/>
  <c r="I21" i="4"/>
  <c r="H21" i="4"/>
  <c r="F21" i="4"/>
  <c r="D21" i="4"/>
  <c r="C21" i="4"/>
  <c r="AA20" i="4"/>
  <c r="Z20" i="4"/>
  <c r="M20" i="4"/>
  <c r="L20" i="4"/>
  <c r="AA19" i="4"/>
  <c r="Z19" i="4"/>
  <c r="M19" i="4"/>
  <c r="L19" i="4"/>
  <c r="X18" i="4"/>
  <c r="W18" i="4"/>
  <c r="V18" i="4"/>
  <c r="U18" i="4"/>
  <c r="T18" i="4"/>
  <c r="S18" i="4"/>
  <c r="R18" i="4"/>
  <c r="Q18" i="4"/>
  <c r="J18" i="4"/>
  <c r="I18" i="4"/>
  <c r="H18" i="4"/>
  <c r="G18" i="4"/>
  <c r="F18" i="4"/>
  <c r="D18" i="4"/>
  <c r="C18" i="4"/>
  <c r="AA17" i="4"/>
  <c r="Z17" i="4"/>
  <c r="M17" i="4"/>
  <c r="L17" i="4"/>
  <c r="AA16" i="4"/>
  <c r="Z16" i="4"/>
  <c r="M16" i="4"/>
  <c r="L16" i="4"/>
  <c r="X15" i="4"/>
  <c r="W15" i="4"/>
  <c r="V15" i="4"/>
  <c r="U15" i="4"/>
  <c r="T15" i="4"/>
  <c r="S15" i="4"/>
  <c r="R15" i="4"/>
  <c r="Q15" i="4"/>
  <c r="J15" i="4"/>
  <c r="I15" i="4"/>
  <c r="H15" i="4"/>
  <c r="G15" i="4"/>
  <c r="F15" i="4"/>
  <c r="E15" i="4"/>
  <c r="D15" i="4"/>
  <c r="C15" i="4"/>
  <c r="AA14" i="4"/>
  <c r="Z14" i="4"/>
  <c r="M14" i="4"/>
  <c r="L14" i="4"/>
  <c r="AA13" i="4"/>
  <c r="Z13" i="4"/>
  <c r="M13" i="4"/>
  <c r="L13" i="4"/>
  <c r="X12" i="4"/>
  <c r="W12" i="4"/>
  <c r="V12" i="4"/>
  <c r="U12" i="4"/>
  <c r="T12" i="4"/>
  <c r="S12" i="4"/>
  <c r="R12" i="4"/>
  <c r="Q12" i="4"/>
  <c r="J12" i="4"/>
  <c r="I12" i="4"/>
  <c r="H12" i="4"/>
  <c r="G12" i="4"/>
  <c r="F12" i="4"/>
  <c r="E12" i="4"/>
  <c r="D12" i="4"/>
  <c r="C12" i="4"/>
  <c r="AA11" i="4"/>
  <c r="Z11" i="4"/>
  <c r="M11" i="4"/>
  <c r="L11" i="4"/>
  <c r="AA10" i="4"/>
  <c r="Z10" i="4"/>
  <c r="M10" i="4"/>
  <c r="L10" i="4"/>
  <c r="X57" i="4" l="1"/>
  <c r="X59" i="4"/>
  <c r="AA42" i="4"/>
  <c r="Q59" i="4"/>
  <c r="J57" i="4"/>
  <c r="S59" i="4"/>
  <c r="S57" i="4"/>
  <c r="I57" i="4"/>
  <c r="U59" i="4"/>
  <c r="T59" i="4"/>
  <c r="T57" i="4"/>
  <c r="W59" i="4"/>
  <c r="W57" i="4"/>
  <c r="V59" i="4"/>
  <c r="V57" i="4"/>
  <c r="Z54" i="4"/>
  <c r="G57" i="4"/>
  <c r="F57" i="4"/>
  <c r="Z18" i="4"/>
  <c r="AA18" i="4"/>
  <c r="U57" i="4"/>
  <c r="AA54" i="4"/>
  <c r="Z51" i="4"/>
  <c r="AA51" i="4"/>
  <c r="S58" i="4"/>
  <c r="W58" i="4"/>
  <c r="T58" i="4"/>
  <c r="X58" i="4"/>
  <c r="AA48" i="4"/>
  <c r="Z48" i="4"/>
  <c r="AA45" i="4"/>
  <c r="Z56" i="4"/>
  <c r="R58" i="4"/>
  <c r="R60" i="4" s="1"/>
  <c r="V58" i="4"/>
  <c r="Z45" i="4"/>
  <c r="Q58" i="4"/>
  <c r="Q60" i="4" s="1"/>
  <c r="AA56" i="4"/>
  <c r="Z42" i="4"/>
  <c r="Z33" i="4"/>
  <c r="AA33" i="4"/>
  <c r="Z30" i="4"/>
  <c r="AA30" i="4"/>
  <c r="Z27" i="4"/>
  <c r="AA27" i="4"/>
  <c r="Z24" i="4"/>
  <c r="AA24" i="4"/>
  <c r="Z21" i="4"/>
  <c r="AA21" i="4"/>
  <c r="Z15" i="4"/>
  <c r="AA15" i="4"/>
  <c r="Z12" i="4"/>
  <c r="AA12" i="4"/>
  <c r="AA34" i="4"/>
  <c r="C59" i="4"/>
  <c r="M54" i="4"/>
  <c r="L54" i="4"/>
  <c r="E58" i="4"/>
  <c r="F58" i="4"/>
  <c r="L51" i="4"/>
  <c r="M51" i="4"/>
  <c r="H57" i="4"/>
  <c r="M48" i="4"/>
  <c r="F59" i="4"/>
  <c r="E57" i="4"/>
  <c r="L48" i="4"/>
  <c r="D59" i="4"/>
  <c r="C58" i="4"/>
  <c r="D58" i="4"/>
  <c r="L45" i="4"/>
  <c r="G58" i="4"/>
  <c r="M45" i="4"/>
  <c r="M30" i="4"/>
  <c r="M24" i="4"/>
  <c r="M33" i="4"/>
  <c r="M27" i="4"/>
  <c r="M21" i="4"/>
  <c r="M18" i="4"/>
  <c r="M15" i="4"/>
  <c r="L18" i="4"/>
  <c r="L30" i="4"/>
  <c r="L15" i="4"/>
  <c r="L24" i="4"/>
  <c r="L33" i="4"/>
  <c r="L27" i="4"/>
  <c r="L21" i="4"/>
  <c r="E59" i="4"/>
  <c r="L56" i="4"/>
  <c r="G59" i="4"/>
  <c r="M56" i="4"/>
  <c r="J59" i="4"/>
  <c r="I59" i="4"/>
  <c r="J58" i="4"/>
  <c r="I58" i="4"/>
  <c r="H58" i="4"/>
  <c r="H60" i="4" s="1"/>
  <c r="M42" i="4"/>
  <c r="L42" i="4"/>
  <c r="D57" i="4"/>
  <c r="C57" i="4"/>
  <c r="M12" i="4"/>
  <c r="L12" i="4"/>
  <c r="AA35" i="4"/>
  <c r="J36" i="4"/>
  <c r="V36" i="4"/>
  <c r="L34" i="4"/>
  <c r="L35" i="4"/>
  <c r="C36" i="4"/>
  <c r="G36" i="4"/>
  <c r="S36" i="4"/>
  <c r="W36" i="4"/>
  <c r="L55" i="4"/>
  <c r="M34" i="4"/>
  <c r="M35" i="4"/>
  <c r="D36" i="4"/>
  <c r="H36" i="4"/>
  <c r="T36" i="4"/>
  <c r="X36" i="4"/>
  <c r="M55" i="4"/>
  <c r="Z34" i="4"/>
  <c r="Z35" i="4"/>
  <c r="E36" i="4"/>
  <c r="I36" i="4"/>
  <c r="Q36" i="4"/>
  <c r="U36" i="4"/>
  <c r="Z55" i="4"/>
  <c r="U58" i="4"/>
  <c r="F36" i="4"/>
  <c r="R36" i="4"/>
  <c r="AA55" i="4"/>
  <c r="X60" i="4" l="1"/>
  <c r="Z57" i="4"/>
  <c r="Z59" i="4"/>
  <c r="S60" i="4"/>
  <c r="T60" i="4"/>
  <c r="W60" i="4"/>
  <c r="AA59" i="4"/>
  <c r="V60" i="4"/>
  <c r="AA57" i="4"/>
  <c r="M57" i="4"/>
  <c r="G60" i="4"/>
  <c r="C60" i="4"/>
  <c r="E60" i="4"/>
  <c r="Z58" i="4"/>
  <c r="Z36" i="4"/>
  <c r="F60" i="4"/>
  <c r="D60" i="4"/>
  <c r="L57" i="4"/>
  <c r="L58" i="4"/>
  <c r="I60" i="4"/>
  <c r="L59" i="4"/>
  <c r="M59" i="4"/>
  <c r="J60" i="4"/>
  <c r="M58" i="4"/>
  <c r="L36" i="4"/>
  <c r="AA58" i="4"/>
  <c r="U60" i="4"/>
  <c r="AA36" i="4"/>
  <c r="M36" i="4"/>
  <c r="Z60" i="4" l="1"/>
  <c r="AA60" i="4"/>
  <c r="L60" i="4"/>
  <c r="M60" i="4"/>
</calcChain>
</file>

<file path=xl/sharedStrings.xml><?xml version="1.0" encoding="utf-8"?>
<sst xmlns="http://schemas.openxmlformats.org/spreadsheetml/2006/main" count="341" uniqueCount="143">
  <si>
    <t>No.</t>
  </si>
  <si>
    <t>Name</t>
  </si>
  <si>
    <t>Sex</t>
  </si>
  <si>
    <r>
      <rPr>
        <sz val="10.5"/>
        <color theme="1"/>
        <rFont val="Calibri"/>
        <family val="2"/>
        <scheme val="minor"/>
      </rPr>
      <t>Grade/</t>
    </r>
    <r>
      <rPr>
        <sz val="10.5"/>
        <color theme="1"/>
        <rFont val="Calibri"/>
        <family val="2"/>
        <scheme val="minor"/>
      </rPr>
      <t>Section</t>
    </r>
  </si>
  <si>
    <r>
      <rPr>
        <sz val="10.5"/>
        <color theme="1"/>
        <rFont val="Calibri"/>
        <family val="2"/>
        <scheme val="minor"/>
      </rPr>
      <t xml:space="preserve">Date of </t>
    </r>
    <r>
      <rPr>
        <sz val="10.5"/>
        <color theme="1"/>
        <rFont val="Calibri"/>
        <family val="2"/>
        <scheme val="minor"/>
      </rPr>
      <t>Birth</t>
    </r>
    <r>
      <rPr>
        <sz val="11"/>
        <color theme="1"/>
        <rFont val="SimSun"/>
        <family val="2"/>
      </rPr>
      <t xml:space="preserve">
</t>
    </r>
    <r>
      <rPr>
        <sz val="10.5"/>
        <color theme="1"/>
        <rFont val="Calibri"/>
        <family val="2"/>
        <scheme val="minor"/>
      </rPr>
      <t xml:space="preserve">(MM/DD/YY </t>
    </r>
    <r>
      <rPr>
        <sz val="10.5"/>
        <color theme="1"/>
        <rFont val="Calibri"/>
        <family val="2"/>
        <scheme val="minor"/>
      </rPr>
      <t>YY)</t>
    </r>
  </si>
  <si>
    <r>
      <rPr>
        <sz val="10.5"/>
        <color theme="1"/>
        <rFont val="Calibri"/>
        <family val="2"/>
        <scheme val="minor"/>
      </rPr>
      <t>Date of</t>
    </r>
    <r>
      <rPr>
        <sz val="11"/>
        <color theme="1"/>
        <rFont val="SimSun"/>
        <family val="2"/>
      </rPr>
      <t xml:space="preserve">
</t>
    </r>
    <r>
      <rPr>
        <sz val="10.5"/>
        <color theme="1"/>
        <rFont val="Calibri"/>
        <family val="2"/>
        <scheme val="minor"/>
      </rPr>
      <t>Weighing/</t>
    </r>
    <r>
      <rPr>
        <sz val="10.5"/>
        <color theme="1"/>
        <rFont val="Calibri"/>
        <family val="2"/>
        <scheme val="minor"/>
      </rPr>
      <t xml:space="preserve">Measuring </t>
    </r>
    <r>
      <rPr>
        <sz val="10.5"/>
        <color theme="1"/>
        <rFont val="Calibri"/>
        <family val="2"/>
        <scheme val="minor"/>
      </rPr>
      <t>(MM/DD/YYYY)</t>
    </r>
  </si>
  <si>
    <r>
      <rPr>
        <sz val="10.5"/>
        <color theme="1"/>
        <rFont val="Calibri"/>
        <family val="2"/>
        <scheme val="minor"/>
      </rPr>
      <t>Age in Years/</t>
    </r>
    <r>
      <rPr>
        <sz val="10.5"/>
        <color theme="1"/>
        <rFont val="Calibri"/>
        <family val="2"/>
        <scheme val="minor"/>
      </rPr>
      <t>Months</t>
    </r>
  </si>
  <si>
    <t>Weight(Kg)</t>
  </si>
  <si>
    <t>Height(cm)</t>
  </si>
  <si>
    <r>
      <rPr>
        <sz val="10.5"/>
        <color theme="1"/>
        <rFont val="Calibri"/>
        <family val="2"/>
        <scheme val="minor"/>
      </rPr>
      <t>BMI for 6 y.o.</t>
    </r>
    <r>
      <rPr>
        <sz val="10.5"/>
        <color theme="1"/>
        <rFont val="Calibri"/>
        <family val="2"/>
        <scheme val="minor"/>
      </rPr>
      <t>and above</t>
    </r>
  </si>
  <si>
    <t>Nutritional Status (NS)</t>
  </si>
  <si>
    <r>
      <rPr>
        <sz val="10.5"/>
        <color theme="1"/>
        <rFont val="Calibri"/>
        <family val="2"/>
        <scheme val="minor"/>
      </rPr>
      <t>Parent's</t>
    </r>
    <r>
      <rPr>
        <sz val="11"/>
        <color theme="1"/>
        <rFont val="SimSun"/>
        <family val="2"/>
      </rPr>
      <t xml:space="preserve">
</t>
    </r>
    <r>
      <rPr>
        <sz val="10.5"/>
        <color theme="1"/>
        <rFont val="Calibri"/>
        <family val="2"/>
        <scheme val="minor"/>
      </rPr>
      <t xml:space="preserve">consent for </t>
    </r>
    <r>
      <rPr>
        <sz val="10.5"/>
        <color theme="1"/>
        <rFont val="Calibri"/>
        <family val="2"/>
        <scheme val="minor"/>
      </rPr>
      <t>milk?</t>
    </r>
    <r>
      <rPr>
        <sz val="11"/>
        <color theme="1"/>
        <rFont val="SimSun"/>
        <family val="2"/>
      </rPr>
      <t xml:space="preserve">
</t>
    </r>
    <r>
      <rPr>
        <sz val="10.5"/>
        <color theme="1"/>
        <rFont val="Calibri"/>
        <family val="2"/>
        <scheme val="minor"/>
      </rPr>
      <t>(yes or no)</t>
    </r>
  </si>
  <si>
    <r>
      <rPr>
        <sz val="10.5"/>
        <color theme="1"/>
        <rFont val="Calibri"/>
        <family val="2"/>
        <scheme val="minor"/>
      </rPr>
      <t xml:space="preserve">Participation in </t>
    </r>
    <r>
      <rPr>
        <sz val="10.5"/>
        <color theme="1"/>
        <rFont val="Calibri"/>
        <family val="2"/>
        <scheme val="minor"/>
      </rPr>
      <t>4Ps</t>
    </r>
    <r>
      <rPr>
        <sz val="11"/>
        <color theme="1"/>
        <rFont val="SimSun"/>
        <family val="2"/>
      </rPr>
      <t xml:space="preserve">
</t>
    </r>
    <r>
      <rPr>
        <sz val="10.5"/>
        <color theme="1"/>
        <rFont val="Calibri"/>
        <family val="2"/>
        <scheme val="minor"/>
      </rPr>
      <t>(yes or no)</t>
    </r>
  </si>
  <si>
    <t>BMI-A</t>
  </si>
  <si>
    <t>HFA</t>
  </si>
  <si>
    <t>Severely Wasted</t>
  </si>
  <si>
    <t>Severely Stunted</t>
  </si>
  <si>
    <t>M</t>
  </si>
  <si>
    <t>Normal</t>
  </si>
  <si>
    <t>F</t>
  </si>
  <si>
    <t>Wasted</t>
  </si>
  <si>
    <t>Stunted</t>
  </si>
  <si>
    <t>Tall</t>
  </si>
  <si>
    <t>Grade 1</t>
  </si>
  <si>
    <t>Grade 3</t>
  </si>
  <si>
    <t>Grade 6</t>
  </si>
  <si>
    <t>Grade 2</t>
  </si>
  <si>
    <t>Grade 4</t>
  </si>
  <si>
    <t>Grade 5</t>
  </si>
  <si>
    <t>Nutritional Status Baseline Period of Feeding</t>
  </si>
  <si>
    <t>Nutritional Status Midline Period of Feeding</t>
  </si>
  <si>
    <t>Primary Beneficiaries</t>
  </si>
  <si>
    <t>Overweight+Obese</t>
  </si>
  <si>
    <t xml:space="preserve">Normal </t>
  </si>
  <si>
    <t>T</t>
  </si>
  <si>
    <t>Non- Graded</t>
  </si>
  <si>
    <t>Total</t>
  </si>
  <si>
    <t>Secondary Beneficiaries</t>
  </si>
  <si>
    <t>PARDo's</t>
  </si>
  <si>
    <t>Indigent Leraners</t>
  </si>
  <si>
    <t>Indiggenous Learners</t>
  </si>
  <si>
    <t>Total Secondary Beneficiaries</t>
  </si>
  <si>
    <t>Grand Total of Primary Ben + Secon Benef</t>
  </si>
  <si>
    <t>Secondary
Beneficiaries</t>
  </si>
  <si>
    <t>Total Secondary 
Beneficiaries</t>
  </si>
  <si>
    <t>Indiggenous 
Learners</t>
  </si>
  <si>
    <t>Indigent 
Leraners</t>
  </si>
  <si>
    <t>Stunted/
Severely Stunted</t>
  </si>
  <si>
    <t>Department of Education</t>
  </si>
  <si>
    <t>Number of Undernourished School Children by Grade Level</t>
  </si>
  <si>
    <t>Nutritional Status at Start/End of Feeding</t>
  </si>
  <si>
    <t>No. of Secondary Targets</t>
  </si>
  <si>
    <t>Balance</t>
  </si>
  <si>
    <t>Severely
Wasted</t>
  </si>
  <si>
    <t>Overweight
+
Obese</t>
  </si>
  <si>
    <t>Severely
Stunted</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</si>
  <si>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</si>
  <si>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</si>
  <si>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</si>
  <si>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</si>
  <si>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</si>
  <si>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</si>
  <si>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</si>
  <si>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</si>
  <si>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</si>
  <si>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</si>
  <si>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</si>
  <si>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2.  Grade I</t>
  </si>
  <si>
    <t>3.  Grade II</t>
  </si>
  <si>
    <t>4.  Grade III</t>
  </si>
  <si>
    <t>5. Grade IV</t>
  </si>
  <si>
    <t>6.  Grade V</t>
  </si>
  <si>
    <t>7.  Grade VI</t>
  </si>
  <si>
    <t>8. Non - Graded / SPED/SNED</t>
  </si>
  <si>
    <t>Grand Total</t>
  </si>
  <si>
    <t>Prepared by:</t>
  </si>
  <si>
    <t>Approved by:</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</si>
  <si>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</si>
  <si>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</si>
  <si>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</si>
  <si>
    <t xml:space="preserve">MALAYBALAY 
CITY DIVISION </t>
  </si>
  <si>
    <t>Region X</t>
  </si>
  <si>
    <t>SCHOOL-BASED FEEDING PROGRAM (SBFP) SUMMARY OF BENEFICIARIES &amp; START OF FEEDING (SY 2025-2026)</t>
  </si>
  <si>
    <t>Schools Division Office:  MALAYBALAY CITY - LGU</t>
  </si>
  <si>
    <t>SBFP Form 2 (2025)</t>
  </si>
  <si>
    <r>
      <t>Last Mile School:  ___Y   _</t>
    </r>
    <r>
      <rPr>
        <u/>
        <sz val="11"/>
        <color theme="1"/>
        <rFont val="Calibri"/>
        <family val="2"/>
        <scheme val="minor"/>
      </rPr>
      <t>__</t>
    </r>
    <r>
      <rPr>
        <sz val="11"/>
        <color theme="1"/>
        <rFont val="Calibri"/>
        <family val="2"/>
        <scheme val="minor"/>
      </rPr>
      <t>N</t>
    </r>
  </si>
  <si>
    <t>[Full Name]</t>
  </si>
  <si>
    <t>IP?</t>
  </si>
  <si>
    <t>Date of Start of Feeding: DECEMBER  5,2025</t>
  </si>
  <si>
    <r>
      <rPr>
        <sz val="10.5"/>
        <color theme="1"/>
        <rFont val="Calibri"/>
        <family val="2"/>
        <scheme val="minor"/>
      </rPr>
      <t xml:space="preserve">Beneficiary of </t>
    </r>
    <r>
      <rPr>
        <sz val="10.5"/>
        <color theme="1"/>
        <rFont val="Calibri"/>
        <family val="2"/>
        <scheme val="minor"/>
      </rPr>
      <t>SBFP in</t>
    </r>
    <r>
      <rPr>
        <sz val="11"/>
        <color theme="1"/>
        <rFont val="SimSun"/>
        <family val="2"/>
      </rPr>
      <t xml:space="preserve">
</t>
    </r>
    <r>
      <rPr>
        <sz val="10.5"/>
        <color theme="1"/>
        <rFont val="Calibri"/>
        <family val="2"/>
        <scheme val="minor"/>
      </rPr>
      <t xml:space="preserve">Previous Years </t>
    </r>
    <r>
      <rPr>
        <sz val="10.5"/>
        <color theme="1"/>
        <rFont val="Calibri"/>
        <family val="2"/>
        <scheme val="minor"/>
      </rPr>
      <t>(yes or no)</t>
    </r>
  </si>
  <si>
    <t>Department of Education 
Bureau of Learner Support Services 
SCHOOL HEALTH DIVISION 
NUTRITIONAL STATUS REPORT OF KALASUNGAY ELEMENTARY SCHOOL
BASELINE (August) SY 2025-2026</t>
  </si>
  <si>
    <t>City/ Municipality/Barangay : MALAYBALAY CITY/ CAN-AYAN</t>
  </si>
  <si>
    <t>Name of School / School District :  CANDIISAN INTEGRATED SCHOOL/DISTRICT 1</t>
  </si>
  <si>
    <t>School  ID Number: 501195</t>
  </si>
  <si>
    <t>=COUNTIFS(Sheet1!C4:C2500, "f", Sheet1!D4:D2500, "&lt;&gt;*k*", Sheet1!K4:K2500, "*normal*", Sheet1!L4:L2500, "*normal*", Sheet1!N4:N2500, "no", Sheet1!P4:P2500, "no")
+COUNTIFS(Sheet1!C4:C2500, "f", Sheet1!D4:D2500, "&lt;&gt;*k*", Sheet1!K4:K2500, "*normal*", Sheet1!L4:L2500,  "tall", Sheet1!N4:N2500, "no", Sheet1!P4:P2500, "no")
'=COUNTIFS(Sheet1!C4:C2500, "m", Sheet1!D4:D2500, "&lt;&gt;*k*", Sheet1!K4:K2500, "*normal*", Sheet1!L4:L2500, "*normal*", Sheet1!N4:N2500, "no", Sheet1!P4:P2500, "no")
+COUNTIFS(Sheet1!C4:C2500, "m", Sheet1!D4:D2500, "&lt;&gt;*k*", Sheet1!K4:K2500, "*normal*", Sheet1!L4:L2500,  "tall", Sheet1!N4:N2500, "no", Sheet1!P4:P2500, "no")
'=COUNTIFS(Sheet1!C4:C2500, "m", Sheet1!D4:D2500, "&lt;&gt;*k*", Sheet1!L4:L2500, "*normal*", Sheet1!K4:K2500, "*normal*", Sheet1!N4:N2500, "no", Sheet1!P4:P2500, "no")
+COUNTIFS(Sheet1!C4:C2500, "m", Sheet1!D4:D2500, "&lt;&gt;*k*", Sheet1!L4:L2500, "*normal*", Sheet1!K4:K2500,  "overweigth", Sheet1!N4:N2500, "no", Sheet1!P4:P2500, "no")
'=COUNTIFS(Sheet1!C4:C2500, "f", Sheet1!D4:D2500, "&lt;&gt;*k*", Sheet1!L4:L2500, "*normal*", Sheet1!K4:K2500, "*normal*", Sheet1!N4:N2500, "no", Sheet1!P4:P2500, "no")
+COUNTIFS(Sheet1!C4:C2500, "f", Sheet1!D4:D2500, "&lt;&gt;*k*", Sheet1!L4:L2500, "*normal*", Sheet1!K4:K2500,  "overweigth", Sheet1!N4:N2500, "no", Sheet1!P4:P2500, "no")</t>
  </si>
  <si>
    <t>All Kinder</t>
  </si>
  <si>
    <t>kinder</t>
  </si>
  <si>
    <t>Stunted/
Severely 
Stunted</t>
  </si>
  <si>
    <t>Kinder</t>
  </si>
  <si>
    <t>Annex A- Midline Nutrition Assessment Form</t>
  </si>
  <si>
    <t>School Division Office: Malaybalay City</t>
  </si>
  <si>
    <t>City/Municipality/Barangay: Malaybalay City/Panamucan, San Jose</t>
  </si>
  <si>
    <t>Name of School/School District: Panamucan Elementary School, District V</t>
  </si>
  <si>
    <t>School ID Number: 126551</t>
  </si>
  <si>
    <t>Date of start of feeding:</t>
  </si>
  <si>
    <t>Last Mile School: _____Y __/__N</t>
  </si>
  <si>
    <t>Summary of SBFP Beneficiaries for Sy: 2025-2026 assessed during Midline Period</t>
  </si>
  <si>
    <t>Number of Beneficiaries according to Grade Level or Classification</t>
  </si>
  <si>
    <t>Nutiritional Status At Midline Period of Feeding</t>
  </si>
  <si>
    <t>Overweight + Obese</t>
  </si>
  <si>
    <t>Grade I</t>
  </si>
  <si>
    <t>Non-Graded</t>
  </si>
  <si>
    <t>TOTAL</t>
  </si>
  <si>
    <t>GRAND TOTAL</t>
  </si>
  <si>
    <t>Certified by:</t>
  </si>
  <si>
    <t>ANIL U. QUINDALA</t>
  </si>
  <si>
    <t>CAREN JAMES A. BALURAN</t>
  </si>
  <si>
    <t>SBFP Coordinator</t>
  </si>
  <si>
    <t>Head Teacher I</t>
  </si>
  <si>
    <t>SBFP Form 1 (2024)</t>
  </si>
  <si>
    <t>Master List Beneficiaries for School-Based Feeding Program (SBFP) ( SY 2025-2026)</t>
  </si>
  <si>
    <t>Name of Principal : NOEMI V. HISONA</t>
  </si>
  <si>
    <t>City/ Municipality/Barangay : MALAYBALAY CITY/BUKIDNON/ [BARANGAY]</t>
  </si>
  <si>
    <t>Name of Feeding Focal Person : JOSEPH JASON A. LIM</t>
  </si>
  <si>
    <t>Name of School / School District :  CAPITAN ANGEL INTEGRATED SCHOOL / DISTRICT I</t>
  </si>
  <si>
    <t>School  ID Number: 501189</t>
  </si>
  <si>
    <t>Grade</t>
  </si>
  <si>
    <t>Section</t>
  </si>
  <si>
    <t>Date of Birth (MM/DD/YYYY)</t>
  </si>
  <si>
    <t>Date of Weighing / Measuring (MM/DD/YYYY)</t>
  </si>
  <si>
    <t>Age</t>
  </si>
  <si>
    <t>Weight (Kg)</t>
  </si>
  <si>
    <t>Height (cm)</t>
  </si>
  <si>
    <t>BMI for 6 y.o. and above</t>
  </si>
  <si>
    <t>Participation in 4Ps                   (yes or no)</t>
  </si>
  <si>
    <t>IIndigenous People
(yes or no)</t>
  </si>
  <si>
    <t>Pupils At Risk of Dropping Out 
PARDO's
(yes or no)</t>
  </si>
  <si>
    <t>Deworemed?
(yes or no)</t>
  </si>
  <si>
    <t>Parent's consent for milk?                   (yes or no)</t>
  </si>
  <si>
    <t xml:space="preserve"> Years</t>
  </si>
  <si>
    <t>Months</t>
  </si>
  <si>
    <t>Di6sion: MALAYBALAY CITY</t>
  </si>
  <si>
    <t>Beneficiary of SBFP in Pre6ous Years 
(yes or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</si>
</sst>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6" x14ac:knownFonts="1">
    <font>
      <sz val="11"/>
      <color theme="1"/>
      <name val="Calibri"/>
      <family val="2"/>
      <scheme val="minor"/>
    </font>
    <font>
      <sz val="10.5"/>
      <color theme="1"/>
      <name val="Calibri"/>
      <family val="2"/>
      <scheme val="minor"/>
    </font>
    <font>
      <sz val="11"/>
      <color theme="1"/>
      <name val="SimSun"/>
      <family val="2"/>
    </font>
    <font>
      <b/>
      <sz val="11"/>
      <color theme="1"/>
      <name val="Calibri"/>
      <family val="2"/>
    </font>
    <font>
      <sz val="11"/>
      <name val="Calibri"/>
      <family val="2"/>
      <scheme val="minor"/>
    </font>
    <font>
      <b/>
      <sz val="9"/>
      <color theme="1"/>
      <name val="Calibri"/>
      <family val="2"/>
    </font>
    <font>
      <sz val="11"/>
      <color theme="1"/>
      <name val="Calibri"/>
      <family val="2"/>
    </font>
    <font>
      <b/>
      <sz val="11"/>
      <color theme="1"/>
      <name val="Calibri"/>
      <family val="2"/>
    </font>
    <font>
      <sz val="11"/>
      <color theme="1"/>
      <name val="Calibri"/>
      <family val="2"/>
      <scheme val="minor"/>
    </font>
    <font>
      <sz val="11"/>
      <color theme="1"/>
      <name val="Arial"/>
      <family val="2"/>
    </font>
    <font>
      <sz val="11"/>
      <color theme="1"/>
      <name val="Aptos Narrow"/>
      <family val="2"/>
    </font>
    <font>
      <sz val="11"/>
      <name val="Aptos Narrow"/>
      <family val="2"/>
    </font>
    <font>
      <b/>
      <sz val="11"/>
      <color theme="1"/>
      <name val="Aptos Narrow"/>
      <family val="2"/>
    </font>
    <font>
      <b/>
      <sz val="11"/>
      <color theme="1"/>
      <name val="Arial"/>
      <family val="2"/>
    </font>
    <font>
      <b/>
      <sz val="11"/>
      <color rgb="FFFF0000"/>
      <name val="Aptos Narrow"/>
      <family val="2"/>
    </font>
    <font>
      <b/>
      <sz val="11"/>
      <color theme="1"/>
      <name val="Calibri"/>
      <family val="2"/>
      <scheme val="minor"/>
    </font>
    <font>
      <b/>
      <sz val="11"/>
      <name val="Aptos Narrow"/>
      <family val="2"/>
    </font>
    <font>
      <b/>
      <sz val="11"/>
      <color theme="1"/>
      <name val="Calibri"/>
      <family val="2"/>
      <scheme val="minor"/>
    </font>
    <font>
      <b/>
      <u/>
      <sz val="11"/>
      <color theme="1"/>
      <name val="Calibri"/>
      <family val="2"/>
      <scheme val="minor"/>
    </font>
    <font>
      <u/>
      <sz val="11"/>
      <color theme="1"/>
      <name val="Calibri"/>
      <family val="2"/>
      <scheme val="minor"/>
    </font>
    <font>
      <sz val="10"/>
      <color theme="1"/>
      <name val="Arial"/>
      <family val="2"/>
    </font>
    <font>
      <b/>
      <sz val="8"/>
      <color theme="1"/>
      <name val="Arial"/>
      <family val="2"/>
    </font>
    <font>
      <sz val="11"/>
      <color theme="1"/>
      <name val="Times New Roman"/>
      <family val="1"/>
    </font>
    <font>
      <b/>
      <sz val="11"/>
      <color theme="1"/>
      <name val="Times New Roman"/>
      <family val="1"/>
    </font>
    <font>
      <sz val="11"/>
      <name val="Calibri"/>
      <family val="2"/>
    </font>
    <font>
      <b/>
      <u/>
      <sz val="10"/>
      <color theme="1"/>
      <name val="Arial"/>
      <family val="2"/>
    </font>
    <font>
      <sz val="10"/>
      <color rgb="FF000000"/>
      <name val="Arial"/>
      <family val="2"/>
    </font>
    <font>
      <sz val="8"/>
      <color rgb="FF000000"/>
      <name val="Arial"/>
      <family val="2"/>
    </font>
    <font>
      <b/>
      <sz val="10"/>
      <color theme="1"/>
      <name val="Arial"/>
      <family val="2"/>
    </font>
    <font>
      <b/>
      <sz val="10"/>
      <color rgb="FF000000"/>
      <name val="Arial"/>
      <family val="2"/>
    </font>
    <font>
      <b/>
      <sz val="12"/>
      <color theme="1"/>
      <name val="Arial"/>
      <family val="2"/>
    </font>
    <font>
      <sz val="12"/>
      <color rgb="FF000000"/>
      <name val="Arial"/>
      <family val="2"/>
    </font>
    <font>
      <sz val="10"/>
      <name val="Arial"/>
      <family val="2"/>
    </font>
    <font>
      <b/>
      <sz val="7"/>
      <color theme="1"/>
      <name val="Arial"/>
      <family val="2"/>
    </font>
    <font>
      <b/>
      <sz val="7"/>
      <name val="Arial"/>
      <family val="2"/>
    </font>
    <font>
      <sz val="10"/>
      <color rgb="FF000000"/>
      <name val="Calibri"/>
      <family val="2"/>
      <scheme val="minor"/>
    </font>
  </fonts>
  <fills count="9">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00FF00"/>
        <bgColor rgb="FF00FF00"/>
      </patternFill>
    </fill>
    <fill>
      <patternFill patternType="solid">
        <fgColor rgb="FFC1F0C8"/>
        <bgColor rgb="FFC1F0C8"/>
      </patternFill>
    </fill>
    <fill>
      <patternFill patternType="solid">
        <fgColor rgb="FFFF0000"/>
        <bgColor rgb="FFFF0000"/>
      </patternFill>
    </fill>
    <fill>
      <patternFill patternType="solid">
        <fgColor rgb="FFF7CAAC"/>
        <bgColor rgb="FFF7CAAC"/>
      </patternFill>
    </fill>
    <fill>
      <patternFill patternType="solid">
        <fgColor rgb="FFC5E0B3"/>
        <bgColor rgb="FFC5E0B3"/>
      </patternFill>
    </fill>
  </fills>
  <borders count="3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35" fillId="0" borderId="0"/>
    <xf numFmtId="0" fontId="8" fillId="0" borderId="0"/>
  </cellStyleXfs>
  <cellXfs count="154">
    <xf numFmtId="0" fontId="0" fillId="0" borderId="0" xfId="0"/>
    <xf numFmtId="0" fontId="3" fillId="0" borderId="11" xfId="0" applyFont="1" applyBorder="1" applyAlignment="1">
      <alignment horizontal="center" vertical="center"/>
    </xf>
    <xf numFmtId="0" fontId="3"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3" fillId="0" borderId="0" xfId="0" applyFont="1" applyAlignment="1">
      <alignment vertical="center" wrapText="1"/>
    </xf>
    <xf numFmtId="0" fontId="3" fillId="2" borderId="11" xfId="0" applyFont="1" applyFill="1" applyBorder="1" applyAlignment="1">
      <alignment horizontal="center" vertical="center"/>
    </xf>
    <xf numFmtId="0" fontId="3" fillId="0" borderId="11" xfId="0" applyFont="1" applyBorder="1"/>
    <xf numFmtId="0" fontId="3" fillId="0" borderId="11" xfId="0" applyFont="1" applyBorder="1" applyAlignment="1">
      <alignment horizontal="center"/>
    </xf>
    <xf numFmtId="0" fontId="3" fillId="2" borderId="11" xfId="0" applyFont="1" applyFill="1" applyBorder="1" applyAlignment="1">
      <alignment horizontal="center"/>
    </xf>
    <xf numFmtId="0" fontId="3" fillId="3" borderId="11" xfId="0" applyFont="1" applyFill="1" applyBorder="1" applyAlignment="1">
      <alignment horizontal="center"/>
    </xf>
    <xf numFmtId="0" fontId="3" fillId="4" borderId="11" xfId="0" applyFont="1" applyFill="1" applyBorder="1" applyAlignment="1">
      <alignment horizontal="center"/>
    </xf>
    <xf numFmtId="0" fontId="6" fillId="2" borderId="11" xfId="0" applyFont="1" applyFill="1" applyBorder="1" applyAlignment="1">
      <alignment horizontal="center"/>
    </xf>
    <xf numFmtId="0" fontId="1" fillId="0" borderId="1" xfId="0" applyFont="1" applyBorder="1" applyAlignment="1">
      <alignment horizontal="center" vertical="center" wrapText="1"/>
    </xf>
    <xf numFmtId="0" fontId="8" fillId="0" borderId="0" xfId="0" applyFont="1"/>
    <xf numFmtId="0" fontId="9" fillId="0" borderId="0" xfId="0" applyFont="1"/>
    <xf numFmtId="0" fontId="10" fillId="0" borderId="0" xfId="0" applyFont="1" applyAlignment="1">
      <alignment horizontal="center" vertical="top" wrapText="1"/>
    </xf>
    <xf numFmtId="0" fontId="10" fillId="0" borderId="11" xfId="0" applyFont="1" applyBorder="1" applyAlignment="1">
      <alignment horizontal="center" vertical="top" wrapText="1"/>
    </xf>
    <xf numFmtId="0" fontId="12" fillId="6" borderId="11"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9" fillId="0" borderId="11" xfId="0" applyFont="1" applyBorder="1" applyAlignment="1">
      <alignment horizontal="center" vertical="top" wrapText="1"/>
    </xf>
    <xf numFmtId="0" fontId="10" fillId="0" borderId="11" xfId="0" applyFont="1" applyBorder="1"/>
    <xf numFmtId="0" fontId="12" fillId="2" borderId="0" xfId="0" applyFont="1" applyFill="1" applyAlignment="1">
      <alignment horizontal="center" vertical="center"/>
    </xf>
    <xf numFmtId="0" fontId="12" fillId="2" borderId="11" xfId="0" applyFont="1" applyFill="1" applyBorder="1" applyAlignment="1">
      <alignment horizontal="center" vertical="top" wrapText="1"/>
    </xf>
    <xf numFmtId="0" fontId="13" fillId="2" borderId="11" xfId="0" applyFont="1" applyFill="1" applyBorder="1" applyAlignment="1">
      <alignment horizontal="center" vertical="top" wrapText="1"/>
    </xf>
    <xf numFmtId="0" fontId="14" fillId="2" borderId="11" xfId="0" applyFont="1" applyFill="1" applyBorder="1" applyAlignment="1">
      <alignment horizontal="center" vertical="top" wrapText="1"/>
    </xf>
    <xf numFmtId="0" fontId="15" fillId="0" borderId="0" xfId="0" applyFont="1"/>
    <xf numFmtId="0" fontId="0" fillId="0" borderId="0" xfId="0" quotePrefix="1" applyAlignment="1">
      <alignment vertical="center" wrapText="1"/>
    </xf>
    <xf numFmtId="0" fontId="18" fillId="0" borderId="0" xfId="0" applyFont="1"/>
    <xf numFmtId="0" fontId="17" fillId="0" borderId="0" xfId="0" applyFont="1" applyAlignment="1">
      <alignment horizontal="center"/>
    </xf>
    <xf numFmtId="0" fontId="12" fillId="0" borderId="17" xfId="0" applyFont="1" applyBorder="1" applyAlignment="1">
      <alignment horizontal="center" vertical="top" wrapText="1"/>
    </xf>
    <xf numFmtId="0" fontId="10" fillId="0" borderId="1" xfId="0" applyFont="1" applyBorder="1" applyAlignment="1">
      <alignment horizontal="center" vertical="top" wrapText="1"/>
    </xf>
    <xf numFmtId="0" fontId="0" fillId="0" borderId="0" xfId="0" applyAlignment="1">
      <alignment horizontal="left"/>
    </xf>
    <xf numFmtId="0" fontId="12" fillId="6" borderId="0" xfId="0" applyFont="1" applyFill="1" applyAlignment="1">
      <alignment horizontal="center" vertical="center"/>
    </xf>
    <xf numFmtId="0" fontId="0" fillId="0" borderId="0" xfId="0" applyAlignment="1">
      <alignment vertical="center"/>
    </xf>
    <xf numFmtId="0" fontId="22" fillId="0" borderId="0" xfId="0" applyFont="1"/>
    <xf numFmtId="0" fontId="22" fillId="0" borderId="11" xfId="0" applyFont="1" applyBorder="1" applyAlignment="1">
      <alignment horizontal="center" vertical="center" wrapText="1"/>
    </xf>
    <xf numFmtId="0" fontId="22" fillId="7" borderId="11"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0" borderId="11" xfId="0" applyFont="1" applyBorder="1" applyAlignment="1">
      <alignment horizontal="center" vertical="center"/>
    </xf>
    <xf numFmtId="0" fontId="22" fillId="7" borderId="11" xfId="0" applyFont="1" applyFill="1" applyBorder="1"/>
    <xf numFmtId="0" fontId="22" fillId="8" borderId="11" xfId="0" applyFont="1" applyFill="1" applyBorder="1"/>
    <xf numFmtId="0" fontId="23" fillId="0" borderId="11" xfId="0" applyFont="1" applyBorder="1" applyAlignment="1">
      <alignment horizontal="center" vertical="center"/>
    </xf>
    <xf numFmtId="0" fontId="23" fillId="7" borderId="11" xfId="0" applyFont="1" applyFill="1" applyBorder="1"/>
    <xf numFmtId="0" fontId="23" fillId="8" borderId="11" xfId="0" applyFont="1" applyFill="1" applyBorder="1"/>
    <xf numFmtId="0" fontId="26" fillId="0" borderId="0" xfId="0" applyFont="1"/>
    <xf numFmtId="164" fontId="26" fillId="0" borderId="0" xfId="0" applyNumberFormat="1" applyFont="1"/>
    <xf numFmtId="2" fontId="26" fillId="0" borderId="0" xfId="0" applyNumberFormat="1" applyFont="1"/>
    <xf numFmtId="0" fontId="27" fillId="0" borderId="0" xfId="0" applyFont="1"/>
    <xf numFmtId="0" fontId="20" fillId="0" borderId="0" xfId="0" applyFont="1"/>
    <xf numFmtId="0" fontId="28" fillId="3" borderId="1" xfId="0" applyFont="1" applyFill="1" applyBorder="1" applyAlignment="1">
      <alignment horizontal="center" vertical="center" wrapText="1"/>
    </xf>
    <xf numFmtId="0" fontId="21" fillId="3" borderId="1" xfId="0" applyFont="1" applyFill="1" applyBorder="1" applyAlignment="1">
      <alignment horizontal="center" vertical="center"/>
    </xf>
    <xf numFmtId="0" fontId="28" fillId="3" borderId="1" xfId="0" applyFont="1" applyFill="1" applyBorder="1" applyAlignment="1">
      <alignment horizontal="center" vertical="center"/>
    </xf>
    <xf numFmtId="0" fontId="3" fillId="0" borderId="15" xfId="0" applyFont="1" applyBorder="1" applyAlignment="1">
      <alignment horizontal="center" vertical="center" wrapText="1"/>
    </xf>
    <xf numFmtId="0" fontId="4" fillId="0" borderId="16" xfId="0" applyFont="1" applyBorder="1" applyAlignment="1">
      <alignment vertical="center"/>
    </xf>
    <xf numFmtId="0" fontId="4" fillId="0" borderId="17" xfId="0" applyFont="1" applyBorder="1" applyAlignment="1">
      <alignment vertical="center"/>
    </xf>
    <xf numFmtId="0" fontId="4" fillId="0" borderId="16" xfId="0" applyFont="1" applyBorder="1" applyAlignment="1">
      <alignment vertical="center" wrapText="1"/>
    </xf>
    <xf numFmtId="0" fontId="4" fillId="0" borderId="17" xfId="0" applyFont="1" applyBorder="1" applyAlignment="1">
      <alignment vertical="center" wrapText="1"/>
    </xf>
    <xf numFmtId="0" fontId="3" fillId="0" borderId="18" xfId="0" applyFont="1" applyBorder="1" applyAlignment="1">
      <alignment horizontal="center" vertical="center"/>
    </xf>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7" fillId="0" borderId="15" xfId="0" applyFont="1" applyBorder="1" applyAlignment="1">
      <alignment horizontal="center" vertical="center"/>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5" xfId="0" applyFont="1" applyBorder="1" applyAlignment="1">
      <alignment horizontal="center" vertical="center"/>
    </xf>
    <xf numFmtId="0" fontId="0" fillId="0" borderId="0" xfId="0" quotePrefix="1" applyAlignment="1">
      <alignment horizontal="left" vertical="center" wrapText="1"/>
    </xf>
    <xf numFmtId="0" fontId="0" fillId="0" borderId="0" xfId="0" applyAlignment="1">
      <alignment horizontal="left" vertical="center"/>
    </xf>
    <xf numFmtId="0" fontId="7" fillId="0" borderId="3" xfId="0" applyFont="1" applyBorder="1" applyAlignment="1">
      <alignment horizontal="center" vertical="center" wrapText="1"/>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0" fillId="0" borderId="0" xfId="0"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4" xfId="0" applyFont="1" applyBorder="1"/>
    <xf numFmtId="0" fontId="4" fillId="0" borderId="5" xfId="0" applyFont="1" applyBorder="1"/>
    <xf numFmtId="0" fontId="4" fillId="0" borderId="6" xfId="0" applyFont="1" applyBorder="1" applyAlignment="1">
      <alignment wrapText="1"/>
    </xf>
    <xf numFmtId="0" fontId="0" fillId="0" borderId="0" xfId="0"/>
    <xf numFmtId="0" fontId="4" fillId="0" borderId="7" xfId="0" applyFont="1" applyBorder="1"/>
    <xf numFmtId="0" fontId="4" fillId="0" borderId="8" xfId="0" applyFont="1" applyBorder="1" applyAlignment="1">
      <alignment wrapText="1"/>
    </xf>
    <xf numFmtId="0" fontId="4" fillId="0" borderId="9" xfId="0" applyFont="1" applyBorder="1"/>
    <xf numFmtId="0" fontId="4" fillId="0" borderId="10" xfId="0" applyFont="1" applyBorder="1"/>
    <xf numFmtId="0" fontId="3" fillId="0" borderId="12" xfId="0" applyFont="1" applyBorder="1" applyAlignment="1">
      <alignment horizontal="center" vertical="center"/>
    </xf>
    <xf numFmtId="0" fontId="4" fillId="0" borderId="13" xfId="0" applyFont="1" applyBorder="1"/>
    <xf numFmtId="0" fontId="4" fillId="0" borderId="14" xfId="0" applyFont="1" applyBorder="1"/>
    <xf numFmtId="0" fontId="0" fillId="0" borderId="2" xfId="0" applyBorder="1" applyAlignment="1">
      <alignment horizontal="left" vertical="center"/>
    </xf>
    <xf numFmtId="0" fontId="8" fillId="0" borderId="0" xfId="0" applyFont="1" applyAlignment="1">
      <alignment horizontal="left" vertical="center"/>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3" fillId="0" borderId="0" xfId="0" applyFont="1" applyAlignment="1">
      <alignment horizontal="left" vertical="center"/>
    </xf>
    <xf numFmtId="0" fontId="9" fillId="0" borderId="0" xfId="0" applyFont="1" applyAlignment="1">
      <alignment horizontal="left" vertical="center"/>
    </xf>
    <xf numFmtId="0" fontId="17" fillId="0" borderId="0" xfId="0" applyFont="1" applyAlignment="1">
      <alignment horizontal="center"/>
    </xf>
    <xf numFmtId="0" fontId="10" fillId="5" borderId="22" xfId="0" applyFont="1" applyFill="1" applyBorder="1" applyAlignment="1">
      <alignment horizontal="center" vertical="top" wrapText="1"/>
    </xf>
    <xf numFmtId="0" fontId="11" fillId="0" borderId="22" xfId="0" applyFont="1" applyBorder="1"/>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2" fillId="0" borderId="1" xfId="0" applyFont="1" applyBorder="1" applyAlignment="1">
      <alignment horizontal="center" vertical="center" wrapText="1"/>
    </xf>
    <xf numFmtId="0" fontId="10" fillId="0" borderId="1" xfId="0" applyFont="1" applyBorder="1" applyAlignment="1">
      <alignment horizontal="center" vertical="top" wrapText="1"/>
    </xf>
    <xf numFmtId="0" fontId="22" fillId="0" borderId="15" xfId="0" applyFont="1" applyBorder="1" applyAlignment="1">
      <alignment horizontal="center" vertical="center" wrapText="1"/>
    </xf>
    <xf numFmtId="0" fontId="24" fillId="0" borderId="16" xfId="0" applyFont="1" applyBorder="1"/>
    <xf numFmtId="0" fontId="24" fillId="0" borderId="17" xfId="0" applyFont="1" applyBorder="1"/>
    <xf numFmtId="0" fontId="23" fillId="0" borderId="12" xfId="0" applyFont="1" applyBorder="1" applyAlignment="1">
      <alignment horizontal="center" vertical="center"/>
    </xf>
    <xf numFmtId="0" fontId="24" fillId="0" borderId="13" xfId="0" applyFont="1" applyBorder="1"/>
    <xf numFmtId="0" fontId="24" fillId="0" borderId="14" xfId="0" applyFont="1" applyBorder="1"/>
    <xf numFmtId="0" fontId="22" fillId="0" borderId="12" xfId="0" applyFont="1" applyBorder="1" applyAlignment="1">
      <alignment horizontal="center" vertical="center" wrapText="1"/>
    </xf>
    <xf numFmtId="0" fontId="22" fillId="0" borderId="12" xfId="0" applyFont="1" applyBorder="1" applyAlignment="1">
      <alignment horizontal="center" vertical="center"/>
    </xf>
    <xf numFmtId="0" fontId="22" fillId="0" borderId="0" xfId="0" applyFont="1" applyAlignment="1">
      <alignment horizontal="center"/>
    </xf>
    <xf numFmtId="0" fontId="22" fillId="0" borderId="17"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0" xfId="0" applyFont="1" applyAlignment="1">
      <alignment horizontal="left"/>
    </xf>
    <xf numFmtId="0" fontId="23" fillId="0" borderId="0" xfId="0" applyFont="1" applyAlignment="1">
      <alignment horizontal="center"/>
    </xf>
    <xf numFmtId="0" fontId="0" fillId="0" borderId="2" xfId="0" applyBorder="1" applyAlignment="1">
      <alignment horizontal="left" vertical="center" wrapText="1"/>
    </xf>
    <xf numFmtId="0" fontId="0" fillId="0" borderId="28" xfId="0" applyBorder="1" applyAlignment="1">
      <alignment horizontal="center" vertical="center"/>
    </xf>
    <xf numFmtId="0" fontId="0" fillId="0" borderId="29" xfId="0" applyBorder="1" applyAlignment="1">
      <alignment horizontal="center" vertical="center"/>
    </xf>
    <xf numFmtId="0" fontId="1" fillId="0" borderId="24" xfId="0" applyFont="1" applyBorder="1" applyAlignment="1">
      <alignment horizontal="right" vertical="center" wrapText="1"/>
    </xf>
    <xf numFmtId="0" fontId="1" fillId="0" borderId="25" xfId="0" applyFont="1" applyBorder="1" applyAlignment="1">
      <alignment horizontal="right" vertical="center" wrapText="1"/>
    </xf>
    <xf numFmtId="0" fontId="1" fillId="0" borderId="24" xfId="0" applyFont="1" applyBorder="1" applyAlignment="1">
      <alignment horizontal="left" vertical="center" wrapText="1"/>
    </xf>
    <xf numFmtId="0" fontId="1" fillId="0" borderId="25" xfId="0" applyFont="1" applyBorder="1" applyAlignment="1">
      <alignment horizontal="left" vertical="center"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25" fillId="0" borderId="0" xfId="0" applyFont="1" applyAlignment="1">
      <alignment horizontal="left"/>
    </xf>
    <xf numFmtId="0" fontId="28" fillId="0" borderId="0" xfId="0" applyFont="1" applyAlignment="1">
      <alignment horizontal="center"/>
    </xf>
    <xf numFmtId="0" fontId="29" fillId="0" borderId="0" xfId="0" applyFont="1"/>
    <xf numFmtId="0" fontId="20" fillId="0" borderId="0" xfId="0" applyFont="1" applyAlignment="1">
      <alignment horizontal="center"/>
    </xf>
    <xf numFmtId="0" fontId="30" fillId="0" borderId="0" xfId="0" applyFont="1" applyAlignment="1">
      <alignment horizontal="center"/>
    </xf>
    <xf numFmtId="0" fontId="31" fillId="0" borderId="0" xfId="0" applyFont="1"/>
    <xf numFmtId="0" fontId="20" fillId="0" borderId="0" xfId="0" applyFont="1"/>
    <xf numFmtId="0" fontId="26" fillId="0" borderId="0" xfId="0" applyFont="1"/>
    <xf numFmtId="0" fontId="20" fillId="0" borderId="0" xfId="0" applyFont="1" applyAlignment="1">
      <alignment horizontal="left" vertical="center"/>
    </xf>
    <xf numFmtId="0" fontId="28" fillId="0" borderId="30" xfId="0" applyFont="1" applyBorder="1" applyAlignment="1">
      <alignment horizontal="center" vertical="center"/>
    </xf>
    <xf numFmtId="0" fontId="32" fillId="0" borderId="33" xfId="0" applyFont="1" applyBorder="1" applyAlignment="1">
      <alignment horizontal="center" vertical="center"/>
    </xf>
    <xf numFmtId="0" fontId="28" fillId="0" borderId="31" xfId="0" applyFont="1" applyBorder="1" applyAlignment="1">
      <alignment horizontal="center" vertical="center"/>
    </xf>
    <xf numFmtId="0" fontId="32" fillId="0" borderId="1" xfId="0" applyFont="1" applyBorder="1" applyAlignment="1">
      <alignment horizontal="center" vertical="center"/>
    </xf>
    <xf numFmtId="0" fontId="28" fillId="3" borderId="31" xfId="0" applyFont="1" applyFill="1" applyBorder="1" applyAlignment="1">
      <alignment horizontal="center" vertical="center" wrapText="1"/>
    </xf>
    <xf numFmtId="0" fontId="28" fillId="3" borderId="1" xfId="0" applyFont="1" applyFill="1" applyBorder="1" applyAlignment="1">
      <alignment horizontal="center" vertical="center" wrapText="1"/>
    </xf>
    <xf numFmtId="164" fontId="28" fillId="0" borderId="31" xfId="0" applyNumberFormat="1" applyFont="1" applyBorder="1" applyAlignment="1">
      <alignment horizontal="center" vertical="center" wrapText="1"/>
    </xf>
    <xf numFmtId="164" fontId="32" fillId="0" borderId="1" xfId="0" applyNumberFormat="1" applyFont="1" applyBorder="1" applyAlignment="1">
      <alignment horizontal="center" vertical="center"/>
    </xf>
    <xf numFmtId="0" fontId="33" fillId="0" borderId="32" xfId="0" applyFont="1" applyBorder="1" applyAlignment="1">
      <alignment horizontal="center" vertical="center" wrapText="1"/>
    </xf>
    <xf numFmtId="0" fontId="34" fillId="0" borderId="34" xfId="0" applyFont="1" applyBorder="1" applyAlignment="1">
      <alignment horizontal="center" vertical="center"/>
    </xf>
    <xf numFmtId="2" fontId="28" fillId="3" borderId="31" xfId="0" applyNumberFormat="1" applyFont="1" applyFill="1" applyBorder="1" applyAlignment="1">
      <alignment horizontal="center" vertical="center" wrapText="1"/>
    </xf>
    <xf numFmtId="2" fontId="32" fillId="0" borderId="1" xfId="0" applyNumberFormat="1" applyFont="1" applyBorder="1" applyAlignment="1">
      <alignment horizontal="center" vertical="center"/>
    </xf>
    <xf numFmtId="0" fontId="32" fillId="0" borderId="31" xfId="0" applyFont="1" applyBorder="1" applyAlignment="1">
      <alignment horizontal="center" vertical="center"/>
    </xf>
    <xf numFmtId="0" fontId="33" fillId="0" borderId="31" xfId="0" applyFont="1" applyBorder="1" applyAlignment="1">
      <alignment horizontal="center" vertical="center" wrapText="1"/>
    </xf>
    <xf numFmtId="0" fontId="34" fillId="0" borderId="1" xfId="0" applyFont="1" applyBorder="1" applyAlignment="1">
      <alignment horizontal="center" vertical="center"/>
    </xf>
    <xf numFmtId="0" fontId="33" fillId="0" borderId="1" xfId="0" applyFont="1" applyBorder="1" applyAlignment="1">
      <alignment horizontal="center" vertical="center" wrapText="1"/>
    </xf>
  </cellXfs>
  <cellStyles count="3">
    <cellStyle name="Normal" xfId="0" builtinId="0"/>
    <cellStyle name="Normal 2" xfId="2" xr:uid="{68C011D4-4CCF-42C5-8508-F2000ADFE69B}"/>
    <cellStyle name="Normal 3" xfId="1" xr:uid="{2D83950D-9B03-41B5-A5C3-C1ED6DED962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xfrm>
          <a:off x="66675" y="161925"/>
          <a:ext cx="647700" cy="533400"/>
        </a:xfrm>
        <a:prstGeom prst="rect">
          <a:avLst/>
        </a:prstGeom>
        <a:noFill/>
      </xdr:spPr>
    </xdr:pic>
    <xdr:clientData fLocksWithSheet="0"/>
  </xdr:oneCellAnchor>
  <xdr:twoCellAnchor editAs="oneCell">
    <xdr:from>
      <xdr:col>0</xdr:col>
      <xdr:colOff>69850</xdr:colOff>
      <xdr:row>1</xdr:row>
      <xdr:rowOff>0</xdr:rowOff>
    </xdr:from>
    <xdr:to>
      <xdr:col>0</xdr:col>
      <xdr:colOff>711200</xdr:colOff>
      <xdr:row>3</xdr:row>
      <xdr:rowOff>155575</xdr:rowOff>
    </xdr:to>
    <xdr:pic>
      <xdr:nvPicPr>
        <xdr:cNvPr id="4" name="image2.png">
          <a:extLst>
            <a:ext uri="{FF2B5EF4-FFF2-40B4-BE49-F238E27FC236}">
              <a16:creationId xmlns:a16="http://schemas.microsoft.com/office/drawing/2014/main" id="{00000000-0008-0000-0100-000004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69850</xdr:colOff>
      <xdr:row>1</xdr:row>
      <xdr:rowOff>0</xdr:rowOff>
    </xdr:from>
    <xdr:to>
      <xdr:col>0</xdr:col>
      <xdr:colOff>711200</xdr:colOff>
      <xdr:row>3</xdr:row>
      <xdr:rowOff>155575</xdr:rowOff>
    </xdr:to>
    <xdr:pic>
      <xdr:nvPicPr>
        <xdr:cNvPr id="5" name="Picture 2">
          <a:extLst>
            <a:ext uri="{FF2B5EF4-FFF2-40B4-BE49-F238E27FC236}">
              <a16:creationId xmlns:a16="http://schemas.microsoft.com/office/drawing/2014/main" id="{00000000-0008-0000-0100-000005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oneCellAnchor>
    <xdr:from>
      <xdr:col>17</xdr:col>
      <xdr:colOff>979714</xdr:colOff>
      <xdr:row>1</xdr:row>
      <xdr:rowOff>13608</xdr:rowOff>
    </xdr:from>
    <xdr:ext cx="752475" cy="409575"/>
    <xdr:pic>
      <xdr:nvPicPr>
        <xdr:cNvPr id="6" name="image1.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3" cstate="print"/>
        <a:stretch>
          <a:fillRect/>
        </a:stretch>
      </xdr:blipFill>
      <xdr:spPr>
        <a:xfrm>
          <a:off x="17866178" y="204108"/>
          <a:ext cx="752475" cy="409575"/>
        </a:xfrm>
        <a:prstGeom prst="rect">
          <a:avLst/>
        </a:prstGeom>
        <a:noFill/>
      </xdr:spPr>
    </xdr:pic>
    <xdr:clientData fLocksWithSheet="0"/>
  </xdr:oneCellAnchor>
  <xdr:oneCellAnchor>
    <xdr:from>
      <xdr:col>0</xdr:col>
      <xdr:colOff>66675</xdr:colOff>
      <xdr:row>1</xdr:row>
      <xdr:rowOff>0</xdr:rowOff>
    </xdr:from>
    <xdr:ext cx="647700" cy="533400"/>
    <xdr:pic>
      <xdr:nvPicPr>
        <xdr:cNvPr id="7" name="image2.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xfrm>
          <a:off x="66675" y="161925"/>
          <a:ext cx="647700" cy="533400"/>
        </a:xfrm>
        <a:prstGeom prst="rect">
          <a:avLst/>
        </a:prstGeom>
        <a:noFill/>
      </xdr:spPr>
    </xdr:pic>
    <xdr:clientData fLocksWithSheet="0"/>
  </xdr:oneCellAnchor>
  <xdr:twoCellAnchor editAs="oneCell">
    <xdr:from>
      <xdr:col>0</xdr:col>
      <xdr:colOff>69850</xdr:colOff>
      <xdr:row>1</xdr:row>
      <xdr:rowOff>0</xdr:rowOff>
    </xdr:from>
    <xdr:to>
      <xdr:col>0</xdr:col>
      <xdr:colOff>711200</xdr:colOff>
      <xdr:row>3</xdr:row>
      <xdr:rowOff>155575</xdr:rowOff>
    </xdr:to>
    <xdr:pic>
      <xdr:nvPicPr>
        <xdr:cNvPr id="8" name="image2.png">
          <a:extLst>
            <a:ext uri="{FF2B5EF4-FFF2-40B4-BE49-F238E27FC236}">
              <a16:creationId xmlns:a16="http://schemas.microsoft.com/office/drawing/2014/main" id="{00000000-0008-0000-0100-000008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69850</xdr:colOff>
      <xdr:row>1</xdr:row>
      <xdr:rowOff>0</xdr:rowOff>
    </xdr:from>
    <xdr:to>
      <xdr:col>0</xdr:col>
      <xdr:colOff>711200</xdr:colOff>
      <xdr:row>3</xdr:row>
      <xdr:rowOff>155575</xdr:rowOff>
    </xdr:to>
    <xdr:pic>
      <xdr:nvPicPr>
        <xdr:cNvPr id="9" name="Picture 2">
          <a:extLst>
            <a:ext uri="{FF2B5EF4-FFF2-40B4-BE49-F238E27FC236}">
              <a16:creationId xmlns:a16="http://schemas.microsoft.com/office/drawing/2014/main" id="{00000000-0008-0000-0100-000009000000}"/>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2.xml><?xml version="1.0" encoding="utf-8"?>
<xdr:wsDr xmlns:xdr="http://schemas.openxmlformats.org/drawingml/2006/spreadsheetDrawing" xmlns:a="http://schemas.openxmlformats.org/drawingml/2006/main">
  <xdr:oneCellAnchor>
    <xdr:from>
      <xdr:col>0</xdr:col>
      <xdr:colOff>142875</xdr:colOff>
      <xdr:row>1</xdr:row>
      <xdr:rowOff>57150</xdr:rowOff>
    </xdr:from>
    <xdr:ext cx="647700" cy="552450"/>
    <xdr:pic>
      <xdr:nvPicPr>
        <xdr:cNvPr id="2" name="image1.png">
          <a:extLst>
            <a:ext uri="{FF2B5EF4-FFF2-40B4-BE49-F238E27FC236}">
              <a16:creationId xmlns:a16="http://schemas.microsoft.com/office/drawing/2014/main" id="{9916FDB3-0ED0-485C-8628-0CA3C9B9FBEC}"/>
            </a:ext>
          </a:extLst>
        </xdr:cNvPr>
        <xdr:cNvPicPr preferRelativeResize="0"/>
      </xdr:nvPicPr>
      <xdr:blipFill>
        <a:blip xmlns:r="http://schemas.openxmlformats.org/officeDocument/2006/relationships" r:embed="rId1" cstate="print"/>
        <a:stretch>
          <a:fillRect/>
        </a:stretch>
      </xdr:blipFill>
      <xdr:spPr>
        <a:xfrm>
          <a:off x="142875" y="241300"/>
          <a:ext cx="647700" cy="552450"/>
        </a:xfrm>
        <a:prstGeom prst="rect">
          <a:avLst/>
        </a:prstGeom>
        <a:noFill/>
      </xdr:spPr>
    </xdr:pic>
    <xdr:clientData fLocksWithSheet="0"/>
  </xdr:oneCellAnchor>
  <xdr:oneCellAnchor>
    <xdr:from>
      <xdr:col>18</xdr:col>
      <xdr:colOff>398368</xdr:colOff>
      <xdr:row>1</xdr:row>
      <xdr:rowOff>127747</xdr:rowOff>
    </xdr:from>
    <xdr:ext cx="742950" cy="409575"/>
    <xdr:pic>
      <xdr:nvPicPr>
        <xdr:cNvPr id="3" name="image2.png" title="Image">
          <a:extLst>
            <a:ext uri="{FF2B5EF4-FFF2-40B4-BE49-F238E27FC236}">
              <a16:creationId xmlns:a16="http://schemas.microsoft.com/office/drawing/2014/main" id="{5918D4F2-C47C-4428-9AEF-C84210BAD34D}"/>
            </a:ext>
            <a:ext uri="{147F2762-F138-4A5C-976F-8EAC2B608ADB}">
              <a16:predDERef xmlns:a16="http://schemas.microsoft.com/office/drawing/2014/main" pred="{00000000-0008-0000-0100-000002000000}"/>
            </a:ext>
          </a:extLst>
        </xdr:cNvPr>
        <xdr:cNvPicPr preferRelativeResize="0"/>
      </xdr:nvPicPr>
      <xdr:blipFill>
        <a:blip xmlns:r="http://schemas.openxmlformats.org/officeDocument/2006/relationships" r:embed="rId2" cstate="print"/>
        <a:stretch>
          <a:fillRect/>
        </a:stretch>
      </xdr:blipFill>
      <xdr:spPr>
        <a:xfrm>
          <a:off x="15555818" y="311897"/>
          <a:ext cx="742950" cy="409575"/>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1"/>
  <sheetViews>
    <sheetView tabSelected="1" view="pageBreakPreview" zoomScaleNormal="100" zoomScaleSheetLayoutView="100" workbookViewId="0">
      <selection sqref="A1:J7"/>
    </sheetView>
  </sheetViews>
  <sheetFormatPr defaultRowHeight="14.5" x14ac:dyDescent="0.35"/>
  <cols>
    <col min="1" max="1" width="14.453125" style="33" customWidth="1"/>
    <col min="15" max="15" width="14.453125" style="33" customWidth="1"/>
  </cols>
  <sheetData>
    <row r="1" spans="1:27" x14ac:dyDescent="0.35">
      <c r="A1" s="69" t="s">
        <v>90</v>
      </c>
      <c r="B1" s="70"/>
      <c r="C1" s="70"/>
      <c r="D1" s="70"/>
      <c r="E1" s="70"/>
      <c r="F1" s="70"/>
      <c r="G1" s="70"/>
      <c r="H1" s="70"/>
      <c r="I1" s="70"/>
      <c r="J1" s="71"/>
      <c r="O1" s="69" t="str">
        <f>A1</f>
        <v>Department of Education 
Bureau of Learner Support Services 
SCHOOL HEALTH DIVISION 
NUTRITIONAL STATUS REPORT OF KALASUNGAY ELEMENTARY SCHOOL
BASELINE (August) SY 2025-2026</v>
      </c>
      <c r="P1" s="78"/>
      <c r="Q1" s="78"/>
      <c r="R1" s="78"/>
      <c r="S1" s="78"/>
      <c r="T1" s="78"/>
      <c r="U1" s="78"/>
      <c r="V1" s="78"/>
      <c r="W1" s="78"/>
      <c r="X1" s="79"/>
    </row>
    <row r="2" spans="1:27" x14ac:dyDescent="0.35">
      <c r="A2" s="72"/>
      <c r="B2" s="73"/>
      <c r="C2" s="73"/>
      <c r="D2" s="73"/>
      <c r="E2" s="73"/>
      <c r="F2" s="73"/>
      <c r="G2" s="73"/>
      <c r="H2" s="73"/>
      <c r="I2" s="73"/>
      <c r="J2" s="74"/>
      <c r="O2" s="80"/>
      <c r="P2" s="81"/>
      <c r="Q2" s="81"/>
      <c r="R2" s="81"/>
      <c r="S2" s="81"/>
      <c r="T2" s="81"/>
      <c r="U2" s="81"/>
      <c r="V2" s="81"/>
      <c r="W2" s="81"/>
      <c r="X2" s="82"/>
    </row>
    <row r="3" spans="1:27" x14ac:dyDescent="0.35">
      <c r="A3" s="72"/>
      <c r="B3" s="73"/>
      <c r="C3" s="73"/>
      <c r="D3" s="73"/>
      <c r="E3" s="73"/>
      <c r="F3" s="73"/>
      <c r="G3" s="73"/>
      <c r="H3" s="73"/>
      <c r="I3" s="73"/>
      <c r="J3" s="74"/>
      <c r="O3" s="80"/>
      <c r="P3" s="81"/>
      <c r="Q3" s="81"/>
      <c r="R3" s="81"/>
      <c r="S3" s="81"/>
      <c r="T3" s="81"/>
      <c r="U3" s="81"/>
      <c r="V3" s="81"/>
      <c r="W3" s="81"/>
      <c r="X3" s="82"/>
    </row>
    <row r="4" spans="1:27" x14ac:dyDescent="0.35">
      <c r="A4" s="72"/>
      <c r="B4" s="73"/>
      <c r="C4" s="73"/>
      <c r="D4" s="73"/>
      <c r="E4" s="73"/>
      <c r="F4" s="73"/>
      <c r="G4" s="73"/>
      <c r="H4" s="73"/>
      <c r="I4" s="73"/>
      <c r="J4" s="74"/>
      <c r="O4" s="80"/>
      <c r="P4" s="81"/>
      <c r="Q4" s="81"/>
      <c r="R4" s="81"/>
      <c r="S4" s="81"/>
      <c r="T4" s="81"/>
      <c r="U4" s="81"/>
      <c r="V4" s="81"/>
      <c r="W4" s="81"/>
      <c r="X4" s="82"/>
    </row>
    <row r="5" spans="1:27" x14ac:dyDescent="0.35">
      <c r="A5" s="72"/>
      <c r="B5" s="73"/>
      <c r="C5" s="73"/>
      <c r="D5" s="73"/>
      <c r="E5" s="73"/>
      <c r="F5" s="73"/>
      <c r="G5" s="73"/>
      <c r="H5" s="73"/>
      <c r="I5" s="73"/>
      <c r="J5" s="74"/>
      <c r="O5" s="80"/>
      <c r="P5" s="81"/>
      <c r="Q5" s="81"/>
      <c r="R5" s="81"/>
      <c r="S5" s="81"/>
      <c r="T5" s="81"/>
      <c r="U5" s="81"/>
      <c r="V5" s="81"/>
      <c r="W5" s="81"/>
      <c r="X5" s="82"/>
    </row>
    <row r="6" spans="1:27" x14ac:dyDescent="0.35">
      <c r="A6" s="72"/>
      <c r="B6" s="73"/>
      <c r="C6" s="73"/>
      <c r="D6" s="73"/>
      <c r="E6" s="73"/>
      <c r="F6" s="73"/>
      <c r="G6" s="73"/>
      <c r="H6" s="73"/>
      <c r="I6" s="73"/>
      <c r="J6" s="74"/>
      <c r="O6" s="80"/>
      <c r="P6" s="81"/>
      <c r="Q6" s="81"/>
      <c r="R6" s="81"/>
      <c r="S6" s="81"/>
      <c r="T6" s="81"/>
      <c r="U6" s="81"/>
      <c r="V6" s="81"/>
      <c r="W6" s="81"/>
      <c r="X6" s="82"/>
    </row>
    <row r="7" spans="1:27" ht="15" thickBot="1" x14ac:dyDescent="0.4">
      <c r="A7" s="75"/>
      <c r="B7" s="76"/>
      <c r="C7" s="76"/>
      <c r="D7" s="76"/>
      <c r="E7" s="76"/>
      <c r="F7" s="76"/>
      <c r="G7" s="76"/>
      <c r="H7" s="76"/>
      <c r="I7" s="76"/>
      <c r="J7" s="77"/>
      <c r="O7" s="83"/>
      <c r="P7" s="84"/>
      <c r="Q7" s="84"/>
      <c r="R7" s="84"/>
      <c r="S7" s="84"/>
      <c r="T7" s="84"/>
      <c r="U7" s="84"/>
      <c r="V7" s="84"/>
      <c r="W7" s="84"/>
      <c r="X7" s="85"/>
    </row>
    <row r="8" spans="1:27" ht="29" x14ac:dyDescent="0.35">
      <c r="A8" s="2" t="s">
        <v>80</v>
      </c>
      <c r="B8" s="86" t="s">
        <v>29</v>
      </c>
      <c r="C8" s="87"/>
      <c r="D8" s="87"/>
      <c r="E8" s="87"/>
      <c r="F8" s="87"/>
      <c r="G8" s="87"/>
      <c r="H8" s="87"/>
      <c r="I8" s="87"/>
      <c r="J8" s="88"/>
      <c r="O8" s="2" t="str">
        <f>A8</f>
        <v xml:space="preserve">MALAYBALAY 
CITY DIVISION </v>
      </c>
      <c r="P8" s="86" t="s">
        <v>30</v>
      </c>
      <c r="Q8" s="87"/>
      <c r="R8" s="87"/>
      <c r="S8" s="87"/>
      <c r="T8" s="87"/>
      <c r="U8" s="87"/>
      <c r="V8" s="87"/>
      <c r="W8" s="87"/>
      <c r="X8" s="88"/>
    </row>
    <row r="9" spans="1:27" ht="29" x14ac:dyDescent="0.35">
      <c r="A9" s="2" t="s">
        <v>31</v>
      </c>
      <c r="B9" s="2" t="s">
        <v>2</v>
      </c>
      <c r="C9" s="2" t="s">
        <v>15</v>
      </c>
      <c r="D9" s="2" t="s">
        <v>20</v>
      </c>
      <c r="E9" s="2" t="s">
        <v>18</v>
      </c>
      <c r="F9" s="3" t="s">
        <v>32</v>
      </c>
      <c r="G9" s="2" t="s">
        <v>16</v>
      </c>
      <c r="H9" s="2" t="s">
        <v>21</v>
      </c>
      <c r="I9" s="2" t="s">
        <v>33</v>
      </c>
      <c r="J9" s="2" t="s">
        <v>22</v>
      </c>
      <c r="K9" s="4"/>
      <c r="L9" s="4"/>
      <c r="M9" s="4"/>
      <c r="N9" s="4"/>
      <c r="O9" s="2" t="str">
        <f>A9</f>
        <v>Primary Beneficiaries</v>
      </c>
      <c r="P9" s="2" t="s">
        <v>2</v>
      </c>
      <c r="Q9" s="2" t="s">
        <v>15</v>
      </c>
      <c r="R9" s="2" t="s">
        <v>20</v>
      </c>
      <c r="S9" s="2" t="s">
        <v>18</v>
      </c>
      <c r="T9" s="3" t="s">
        <v>32</v>
      </c>
      <c r="U9" s="2" t="s">
        <v>16</v>
      </c>
      <c r="V9" s="2" t="s">
        <v>21</v>
      </c>
      <c r="W9" s="2" t="s">
        <v>33</v>
      </c>
      <c r="X9" s="2" t="s">
        <v>22</v>
      </c>
      <c r="Y9" s="4"/>
      <c r="Z9" s="4"/>
    </row>
    <row r="10" spans="1:27" x14ac:dyDescent="0.35">
      <c r="A10" s="66" t="s">
        <v>96</v>
      </c>
      <c r="B10" s="1" t="s">
        <v>17</v>
      </c>
      <c r="C10" s="1" t="e">
        <f>COUNTIFS(#REF!, "m",#REF!, "*severely wasted*",#REF!, "*k*")</f>
        <v>#REF!</v>
      </c>
      <c r="D10" s="1" t="e">
        <f>COUNTIFS(#REF!, "m",#REF!, "wasted",#REF!, "*k*")</f>
        <v>#REF!</v>
      </c>
      <c r="E10" s="1" t="e">
        <f>COUNTIFS(#REF!, "m",#REF!, "*normal*",#REF!, "*k*")</f>
        <v>#REF!</v>
      </c>
      <c r="F10" s="1" t="e">
        <f>COUNTIFS(#REF!, "m",#REF!, "overweight",#REF!, "*k*")
+ COUNTIFS(#REF!, "m",#REF!, "obese",#REF!, "*k*")</f>
        <v>#REF!</v>
      </c>
      <c r="G10" s="1" t="e">
        <f>COUNTIFS(#REF!, "m",#REF!, "*severely stunted*",#REF!, "*k*")</f>
        <v>#REF!</v>
      </c>
      <c r="H10" s="1" t="e">
        <f>COUNTIFS(#REF!, "m",#REF!, "stunted",#REF!, "*k*")</f>
        <v>#REF!</v>
      </c>
      <c r="I10" s="1" t="e">
        <f>COUNTIFS(#REF!, "m",#REF!, "*normal*",#REF!, "*k*")</f>
        <v>#REF!</v>
      </c>
      <c r="J10" s="1" t="e">
        <f>COUNTIFS(#REF!, "m",#REF!, "tall",#REF!, "*k*")</f>
        <v>#REF!</v>
      </c>
      <c r="L10" t="e">
        <f t="shared" ref="L10:L36" si="0">SUM(C10:F10)</f>
        <v>#REF!</v>
      </c>
      <c r="M10" t="e">
        <f t="shared" ref="M10:M36" si="1">SUM(G10:J10)</f>
        <v>#REF!</v>
      </c>
      <c r="O10" s="52" t="str">
        <f>A10</f>
        <v>kinder</v>
      </c>
      <c r="P10" s="1" t="s">
        <v>17</v>
      </c>
      <c r="Q10" s="1" t="e">
        <f>C10</f>
        <v>#REF!</v>
      </c>
      <c r="R10" s="1" t="e">
        <f t="shared" ref="R10:X11" si="2">D10</f>
        <v>#REF!</v>
      </c>
      <c r="S10" s="1" t="e">
        <f t="shared" si="2"/>
        <v>#REF!</v>
      </c>
      <c r="T10" s="1" t="e">
        <f t="shared" si="2"/>
        <v>#REF!</v>
      </c>
      <c r="U10" s="1" t="e">
        <f t="shared" si="2"/>
        <v>#REF!</v>
      </c>
      <c r="V10" s="1" t="e">
        <f t="shared" si="2"/>
        <v>#REF!</v>
      </c>
      <c r="W10" s="1" t="e">
        <f t="shared" si="2"/>
        <v>#REF!</v>
      </c>
      <c r="X10" s="1" t="e">
        <f t="shared" si="2"/>
        <v>#REF!</v>
      </c>
      <c r="Z10" t="e">
        <f t="shared" ref="Z10:Z36" si="3">SUM(Q10:T10)</f>
        <v>#REF!</v>
      </c>
      <c r="AA10" t="e">
        <f t="shared" ref="AA10:AA36" si="4">SUM(U10:X10)</f>
        <v>#REF!</v>
      </c>
    </row>
    <row r="11" spans="1:27" x14ac:dyDescent="0.35">
      <c r="A11" s="53"/>
      <c r="B11" s="1" t="s">
        <v>19</v>
      </c>
      <c r="C11" s="1" t="e">
        <f>COUNTIFS(#REF!, "f",#REF!, "*severely wasted*",#REF!, "*k*")</f>
        <v>#REF!</v>
      </c>
      <c r="D11" s="1" t="e">
        <f>COUNTIFS(#REF!, "f",#REF!, "wasted",#REF!, "*k*")</f>
        <v>#REF!</v>
      </c>
      <c r="E11" s="1" t="e">
        <f>COUNTIFS(#REF!, "f",#REF!, "*normal*",#REF!, "*k*")</f>
        <v>#REF!</v>
      </c>
      <c r="F11" s="1" t="e">
        <f>COUNTIFS(#REF!, "f",#REF!, "overweight",#REF!, "*k*")
+ COUNTIFS(#REF!, "f",#REF!, "obese",#REF!, "*k*")</f>
        <v>#REF!</v>
      </c>
      <c r="G11" s="1" t="e">
        <f>COUNTIFS(#REF!, "f",#REF!, "*severely stunted*",#REF!, "*k*")</f>
        <v>#REF!</v>
      </c>
      <c r="H11" s="1" t="e">
        <f>COUNTIFS(#REF!, "f",#REF!, "stunted",#REF!, "*k*")</f>
        <v>#REF!</v>
      </c>
      <c r="I11" s="1" t="e">
        <f>COUNTIFS(#REF!, "f",#REF!, "*normal*",#REF!, "*k*")</f>
        <v>#REF!</v>
      </c>
      <c r="J11" s="1" t="e">
        <f>COUNTIFS(#REF!, "f",#REF!, "tall",#REF!, "*k*")</f>
        <v>#REF!</v>
      </c>
      <c r="L11" t="e">
        <f t="shared" si="0"/>
        <v>#REF!</v>
      </c>
      <c r="M11" t="e">
        <f t="shared" si="1"/>
        <v>#REF!</v>
      </c>
      <c r="O11" s="64"/>
      <c r="P11" s="1" t="s">
        <v>19</v>
      </c>
      <c r="Q11" s="1" t="e">
        <f>C11</f>
        <v>#REF!</v>
      </c>
      <c r="R11" s="1" t="e">
        <f t="shared" si="2"/>
        <v>#REF!</v>
      </c>
      <c r="S11" s="1" t="e">
        <f t="shared" si="2"/>
        <v>#REF!</v>
      </c>
      <c r="T11" s="1" t="e">
        <f t="shared" si="2"/>
        <v>#REF!</v>
      </c>
      <c r="U11" s="1" t="e">
        <f t="shared" si="2"/>
        <v>#REF!</v>
      </c>
      <c r="V11" s="1" t="e">
        <f t="shared" si="2"/>
        <v>#REF!</v>
      </c>
      <c r="W11" s="1" t="e">
        <f t="shared" si="2"/>
        <v>#REF!</v>
      </c>
      <c r="X11" s="1" t="e">
        <f t="shared" si="2"/>
        <v>#REF!</v>
      </c>
      <c r="Z11" t="e">
        <f t="shared" si="3"/>
        <v>#REF!</v>
      </c>
      <c r="AA11" t="e">
        <f t="shared" si="4"/>
        <v>#REF!</v>
      </c>
    </row>
    <row r="12" spans="1:27" x14ac:dyDescent="0.35">
      <c r="A12" s="54"/>
      <c r="B12" s="5" t="s">
        <v>34</v>
      </c>
      <c r="C12" s="5" t="e">
        <f t="shared" ref="C12:J12" si="5">SUM(C10:C11)</f>
        <v>#REF!</v>
      </c>
      <c r="D12" s="5" t="e">
        <f t="shared" si="5"/>
        <v>#REF!</v>
      </c>
      <c r="E12" s="5" t="e">
        <f t="shared" si="5"/>
        <v>#REF!</v>
      </c>
      <c r="F12" s="5" t="e">
        <f t="shared" si="5"/>
        <v>#REF!</v>
      </c>
      <c r="G12" s="5" t="e">
        <f t="shared" si="5"/>
        <v>#REF!</v>
      </c>
      <c r="H12" s="5" t="e">
        <f t="shared" si="5"/>
        <v>#REF!</v>
      </c>
      <c r="I12" s="5" t="e">
        <f t="shared" si="5"/>
        <v>#REF!</v>
      </c>
      <c r="J12" s="5" t="e">
        <f t="shared" si="5"/>
        <v>#REF!</v>
      </c>
      <c r="L12" t="e">
        <f t="shared" si="0"/>
        <v>#REF!</v>
      </c>
      <c r="M12" t="e">
        <f t="shared" si="1"/>
        <v>#REF!</v>
      </c>
      <c r="O12" s="65"/>
      <c r="P12" s="5" t="s">
        <v>34</v>
      </c>
      <c r="Q12" s="5" t="e">
        <f t="shared" ref="Q12:X12" si="6">SUM(Q10:Q11)</f>
        <v>#REF!</v>
      </c>
      <c r="R12" s="5" t="e">
        <f t="shared" si="6"/>
        <v>#REF!</v>
      </c>
      <c r="S12" s="5" t="e">
        <f t="shared" si="6"/>
        <v>#REF!</v>
      </c>
      <c r="T12" s="5" t="e">
        <f t="shared" si="6"/>
        <v>#REF!</v>
      </c>
      <c r="U12" s="5" t="e">
        <f t="shared" si="6"/>
        <v>#REF!</v>
      </c>
      <c r="V12" s="5" t="e">
        <f t="shared" si="6"/>
        <v>#REF!</v>
      </c>
      <c r="W12" s="5" t="e">
        <f t="shared" si="6"/>
        <v>#REF!</v>
      </c>
      <c r="X12" s="5" t="e">
        <f t="shared" si="6"/>
        <v>#REF!</v>
      </c>
      <c r="Z12" t="e">
        <f t="shared" si="3"/>
        <v>#REF!</v>
      </c>
      <c r="AA12" t="e">
        <f t="shared" si="4"/>
        <v>#REF!</v>
      </c>
    </row>
    <row r="13" spans="1:27" x14ac:dyDescent="0.35">
      <c r="A13" s="66" t="s">
        <v>23</v>
      </c>
      <c r="B13" s="1" t="s">
        <v>17</v>
      </c>
      <c r="C13" s="1" t="e">
        <f>COUNTIFS(#REF!, "m",#REF!, "*severely wasted*",#REF!, "*1*")</f>
        <v>#REF!</v>
      </c>
      <c r="D13" s="1" t="e">
        <f>COUNTIFS(#REF!, "m",#REF!, "wasted",#REF!, "*1*")</f>
        <v>#REF!</v>
      </c>
      <c r="E13" s="1">
        <v>0</v>
      </c>
      <c r="F13" s="1">
        <v>0</v>
      </c>
      <c r="G13" s="1" t="e">
        <f>COUNTIFS(#REF!, "m",#REF!, "severely stunted",#REF!, "*1*",#REF!, "severely wasted")
+ COUNTIFS(#REF!, "m",#REF!, "severely stunted",#REF!, "*1*",#REF!, "wasted")</f>
        <v>#REF!</v>
      </c>
      <c r="H13" s="1" t="e">
        <f>COUNTIFS(#REF!, "m",#REF!, "stunted",#REF!, "*1*",#REF!, "severely wasted")
+ COUNTIFS(#REF!, "m",#REF!, "stunted",#REF!, "*1*",#REF!, "wasted")</f>
        <v>#REF!</v>
      </c>
      <c r="I13" s="1" t="e">
        <f>COUNTIFS(#REF!, "m",#REF!, "*normal*",#REF!, "*1*",#REF!, "severely wasted")
+ COUNTIFS(#REF!, "m",#REF!, "*normal*",#REF!, "*1*",#REF!, "wasted")</f>
        <v>#REF!</v>
      </c>
      <c r="J13" s="1" t="e">
        <f>COUNTIFS(#REF!, "m",#REF!, "tall",#REF!, "*1*",#REF!, "severely wasted")
+ COUNTIFS(#REF!, "m",#REF!, "tall",#REF!, "*1*",#REF!, "wasted")</f>
        <v>#REF!</v>
      </c>
      <c r="L13" t="e">
        <f t="shared" si="0"/>
        <v>#REF!</v>
      </c>
      <c r="M13" t="e">
        <f t="shared" si="1"/>
        <v>#REF!</v>
      </c>
      <c r="O13" s="52" t="s">
        <v>23</v>
      </c>
      <c r="P13" s="1" t="s">
        <v>17</v>
      </c>
      <c r="Q13" s="1" t="e">
        <f>C13</f>
        <v>#REF!</v>
      </c>
      <c r="R13" s="1" t="e">
        <f t="shared" ref="R13:X14" si="7">D13</f>
        <v>#REF!</v>
      </c>
      <c r="S13" s="1">
        <f t="shared" si="7"/>
        <v>0</v>
      </c>
      <c r="T13" s="1">
        <f t="shared" si="7"/>
        <v>0</v>
      </c>
      <c r="U13" s="1" t="e">
        <f t="shared" si="7"/>
        <v>#REF!</v>
      </c>
      <c r="V13" s="1" t="e">
        <f t="shared" si="7"/>
        <v>#REF!</v>
      </c>
      <c r="W13" s="1" t="e">
        <f t="shared" si="7"/>
        <v>#REF!</v>
      </c>
      <c r="X13" s="1" t="e">
        <f t="shared" si="7"/>
        <v>#REF!</v>
      </c>
      <c r="Z13" t="e">
        <f t="shared" si="3"/>
        <v>#REF!</v>
      </c>
      <c r="AA13" t="e">
        <f t="shared" si="4"/>
        <v>#REF!</v>
      </c>
    </row>
    <row r="14" spans="1:27" x14ac:dyDescent="0.35">
      <c r="A14" s="53"/>
      <c r="B14" s="1" t="s">
        <v>19</v>
      </c>
      <c r="C14" s="1" t="e">
        <f>COUNTIFS(#REF!, "f",#REF!, "*severely wasted*",#REF!, "*1*")</f>
        <v>#REF!</v>
      </c>
      <c r="D14" s="1" t="e">
        <f>COUNTIFS(#REF!, "f",#REF!, "wasted",#REF!, "*1*")</f>
        <v>#REF!</v>
      </c>
      <c r="E14" s="1">
        <v>0</v>
      </c>
      <c r="F14" s="1">
        <v>0</v>
      </c>
      <c r="G14" s="1" t="e">
        <f>COUNTIFS(#REF!, "f",#REF!, "severely stunted",#REF!, "*1*",#REF!, "severely wasted")
+ COUNTIFS(#REF!, "f",#REF!, "severely stunted",#REF!, "*1*",#REF!, "wasted")</f>
        <v>#REF!</v>
      </c>
      <c r="H14" s="1" t="e">
        <f>COUNTIFS(#REF!, "f",#REF!, "stunted",#REF!, "*1*",#REF!, "severely wasted")
+ COUNTIFS(#REF!, "f",#REF!, "stunted",#REF!, "*1*",#REF!, "wasted")</f>
        <v>#REF!</v>
      </c>
      <c r="I14" s="1" t="e">
        <f>COUNTIFS(#REF!, "f",#REF!, "*normal*",#REF!, "*1*",#REF!, "severely wasted")
+ COUNTIFS(#REF!, "f",#REF!, "*normal*",#REF!, "*1*",#REF!, "wasted")</f>
        <v>#REF!</v>
      </c>
      <c r="J14" s="1" t="e">
        <f>COUNTIFS(#REF!, "f",#REF!, "tall",#REF!, "*1*",#REF!, "severely wasted")
+ COUNTIFS(#REF!, "f",#REF!, "tall",#REF!, "*1*",#REF!, "wasted")</f>
        <v>#REF!</v>
      </c>
      <c r="L14" t="e">
        <f t="shared" si="0"/>
        <v>#REF!</v>
      </c>
      <c r="M14" t="e">
        <f t="shared" si="1"/>
        <v>#REF!</v>
      </c>
      <c r="O14" s="64"/>
      <c r="P14" s="1" t="s">
        <v>19</v>
      </c>
      <c r="Q14" s="1" t="e">
        <f>C14</f>
        <v>#REF!</v>
      </c>
      <c r="R14" s="1" t="e">
        <f t="shared" si="7"/>
        <v>#REF!</v>
      </c>
      <c r="S14" s="1">
        <f t="shared" si="7"/>
        <v>0</v>
      </c>
      <c r="T14" s="1">
        <f t="shared" si="7"/>
        <v>0</v>
      </c>
      <c r="U14" s="1" t="e">
        <f t="shared" si="7"/>
        <v>#REF!</v>
      </c>
      <c r="V14" s="1" t="e">
        <f t="shared" si="7"/>
        <v>#REF!</v>
      </c>
      <c r="W14" s="1" t="e">
        <f t="shared" si="7"/>
        <v>#REF!</v>
      </c>
      <c r="X14" s="1" t="e">
        <f t="shared" si="7"/>
        <v>#REF!</v>
      </c>
      <c r="Z14" t="e">
        <f t="shared" si="3"/>
        <v>#REF!</v>
      </c>
      <c r="AA14" t="e">
        <f t="shared" si="4"/>
        <v>#REF!</v>
      </c>
    </row>
    <row r="15" spans="1:27" x14ac:dyDescent="0.35">
      <c r="A15" s="54"/>
      <c r="B15" s="5" t="s">
        <v>34</v>
      </c>
      <c r="C15" s="5" t="e">
        <f t="shared" ref="C15:J15" si="8">SUM(C13:C14)</f>
        <v>#REF!</v>
      </c>
      <c r="D15" s="5" t="e">
        <f t="shared" si="8"/>
        <v>#REF!</v>
      </c>
      <c r="E15" s="5">
        <f t="shared" si="8"/>
        <v>0</v>
      </c>
      <c r="F15" s="5">
        <f t="shared" si="8"/>
        <v>0</v>
      </c>
      <c r="G15" s="5" t="e">
        <f t="shared" si="8"/>
        <v>#REF!</v>
      </c>
      <c r="H15" s="5" t="e">
        <f t="shared" si="8"/>
        <v>#REF!</v>
      </c>
      <c r="I15" s="5" t="e">
        <f t="shared" si="8"/>
        <v>#REF!</v>
      </c>
      <c r="J15" s="5" t="e">
        <f t="shared" si="8"/>
        <v>#REF!</v>
      </c>
      <c r="L15" t="e">
        <f t="shared" si="0"/>
        <v>#REF!</v>
      </c>
      <c r="M15" t="e">
        <f t="shared" si="1"/>
        <v>#REF!</v>
      </c>
      <c r="O15" s="65"/>
      <c r="P15" s="5" t="s">
        <v>34</v>
      </c>
      <c r="Q15" s="5" t="e">
        <f t="shared" ref="Q15:X15" si="9">SUM(Q13:Q14)</f>
        <v>#REF!</v>
      </c>
      <c r="R15" s="5" t="e">
        <f t="shared" si="9"/>
        <v>#REF!</v>
      </c>
      <c r="S15" s="5">
        <f t="shared" si="9"/>
        <v>0</v>
      </c>
      <c r="T15" s="5">
        <f t="shared" si="9"/>
        <v>0</v>
      </c>
      <c r="U15" s="5" t="e">
        <f t="shared" si="9"/>
        <v>#REF!</v>
      </c>
      <c r="V15" s="5" t="e">
        <f t="shared" si="9"/>
        <v>#REF!</v>
      </c>
      <c r="W15" s="5" t="e">
        <f t="shared" si="9"/>
        <v>#REF!</v>
      </c>
      <c r="X15" s="5" t="e">
        <f t="shared" si="9"/>
        <v>#REF!</v>
      </c>
      <c r="Z15" t="e">
        <f t="shared" si="3"/>
        <v>#REF!</v>
      </c>
      <c r="AA15" t="e">
        <f t="shared" si="4"/>
        <v>#REF!</v>
      </c>
    </row>
    <row r="16" spans="1:27" x14ac:dyDescent="0.35">
      <c r="A16" s="66" t="s">
        <v>26</v>
      </c>
      <c r="B16" s="1" t="s">
        <v>17</v>
      </c>
      <c r="C16" s="1" t="e">
        <f>COUNTIFS(#REF!, "m",#REF!, "*severely wasted*",#REF!, "*2*")</f>
        <v>#REF!</v>
      </c>
      <c r="D16" s="1" t="e">
        <f>COUNTIFS(#REF!, "m",#REF!, "wasted",#REF!, "*2*")</f>
        <v>#REF!</v>
      </c>
      <c r="E16" s="1">
        <v>0</v>
      </c>
      <c r="F16" s="1">
        <v>0</v>
      </c>
      <c r="G16" s="1" t="e">
        <f>COUNTIFS(#REF!, "m",#REF!, "severely stunted",#REF!, "*2*",#REF!, "severely wasted")
+ COUNTIFS(#REF!, "m",#REF!, "severely stunted",#REF!, "*2*",#REF!, "wasted")</f>
        <v>#REF!</v>
      </c>
      <c r="H16" s="1" t="e">
        <f>COUNTIFS(#REF!, "m",#REF!, "stunted",#REF!, "*2*",#REF!, "severely wasted")
+ COUNTIFS(#REF!, "m",#REF!, "stunted",#REF!, "*2*",#REF!, "wasted")</f>
        <v>#REF!</v>
      </c>
      <c r="I16" s="1" t="e">
        <f>COUNTIFS(#REF!, "m",#REF!, "*normal*",#REF!, "*2*",#REF!, "severely wasted")
+ COUNTIFS(#REF!, "m",#REF!, "*normal*",#REF!, "*2*",#REF!, "wasted")</f>
        <v>#REF!</v>
      </c>
      <c r="J16" s="1" t="e">
        <f>COUNTIFS(#REF!, "m",#REF!, "tall",#REF!, "*2*",#REF!, "severely wasted")
+ COUNTIFS(#REF!, "m",#REF!, "tall",#REF!, "*2*",#REF!, "wasted")</f>
        <v>#REF!</v>
      </c>
      <c r="L16" t="e">
        <f t="shared" si="0"/>
        <v>#REF!</v>
      </c>
      <c r="M16" t="e">
        <f t="shared" si="1"/>
        <v>#REF!</v>
      </c>
      <c r="O16" s="52" t="s">
        <v>26</v>
      </c>
      <c r="P16" s="1" t="s">
        <v>17</v>
      </c>
      <c r="Q16" s="1" t="e">
        <f>C16</f>
        <v>#REF!</v>
      </c>
      <c r="R16" s="1" t="e">
        <f t="shared" ref="R16:X17" si="10">D16</f>
        <v>#REF!</v>
      </c>
      <c r="S16" s="1">
        <f t="shared" si="10"/>
        <v>0</v>
      </c>
      <c r="T16" s="1">
        <f t="shared" si="10"/>
        <v>0</v>
      </c>
      <c r="U16" s="1" t="e">
        <f t="shared" si="10"/>
        <v>#REF!</v>
      </c>
      <c r="V16" s="1" t="e">
        <f t="shared" si="10"/>
        <v>#REF!</v>
      </c>
      <c r="W16" s="1" t="e">
        <f t="shared" si="10"/>
        <v>#REF!</v>
      </c>
      <c r="X16" s="1" t="e">
        <f t="shared" si="10"/>
        <v>#REF!</v>
      </c>
      <c r="Z16" t="e">
        <f t="shared" si="3"/>
        <v>#REF!</v>
      </c>
      <c r="AA16" t="e">
        <f t="shared" si="4"/>
        <v>#REF!</v>
      </c>
    </row>
    <row r="17" spans="1:27" x14ac:dyDescent="0.35">
      <c r="A17" s="53"/>
      <c r="B17" s="1" t="s">
        <v>19</v>
      </c>
      <c r="C17" s="1" t="e">
        <f>COUNTIFS(#REF!, "f",#REF!, "*severely wasted*",#REF!, "*2*")</f>
        <v>#REF!</v>
      </c>
      <c r="D17" s="1" t="e">
        <f>COUNTIFS(#REF!, "f",#REF!, "wasted",#REF!, "*2*")</f>
        <v>#REF!</v>
      </c>
      <c r="E17" s="1">
        <v>0</v>
      </c>
      <c r="F17" s="1">
        <v>0</v>
      </c>
      <c r="G17" s="1" t="e">
        <f>COUNTIFS(#REF!, "f",#REF!, "severely stunted",#REF!, "*2*",#REF!, "severely wasted")
+ COUNTIFS(#REF!, "f",#REF!, "severely stunted",#REF!, "*2*",#REF!, "wasted")</f>
        <v>#REF!</v>
      </c>
      <c r="H17" s="1" t="e">
        <f>COUNTIFS(#REF!, "f",#REF!, "stunted",#REF!, "*2*",#REF!, "severely wasted")
+ COUNTIFS(#REF!, "f",#REF!, "stunted",#REF!, "*2*",#REF!, "wasted")</f>
        <v>#REF!</v>
      </c>
      <c r="I17" s="1" t="e">
        <f>COUNTIFS(#REF!, "f",#REF!, "*normal*",#REF!, "*2*",#REF!, "severely wasted")
+ COUNTIFS(#REF!, "f",#REF!, "*normal*",#REF!, "*2*",#REF!, "wasted")</f>
        <v>#REF!</v>
      </c>
      <c r="J17" s="1" t="e">
        <f>COUNTIFS(#REF!, "f",#REF!, "tall",#REF!, "*2*",#REF!, "severely wasted")
+ COUNTIFS(#REF!, "f",#REF!, "tall",#REF!, "*2*",#REF!, "wasted")</f>
        <v>#REF!</v>
      </c>
      <c r="L17" t="e">
        <f t="shared" si="0"/>
        <v>#REF!</v>
      </c>
      <c r="M17" t="e">
        <f t="shared" si="1"/>
        <v>#REF!</v>
      </c>
      <c r="O17" s="64"/>
      <c r="P17" s="1" t="s">
        <v>19</v>
      </c>
      <c r="Q17" s="1" t="e">
        <f>C17</f>
        <v>#REF!</v>
      </c>
      <c r="R17" s="1" t="e">
        <f t="shared" si="10"/>
        <v>#REF!</v>
      </c>
      <c r="S17" s="1">
        <f t="shared" si="10"/>
        <v>0</v>
      </c>
      <c r="T17" s="1">
        <f t="shared" si="10"/>
        <v>0</v>
      </c>
      <c r="U17" s="1" t="e">
        <f t="shared" si="10"/>
        <v>#REF!</v>
      </c>
      <c r="V17" s="1" t="e">
        <f t="shared" si="10"/>
        <v>#REF!</v>
      </c>
      <c r="W17" s="1" t="e">
        <f t="shared" si="10"/>
        <v>#REF!</v>
      </c>
      <c r="X17" s="1" t="e">
        <f t="shared" si="10"/>
        <v>#REF!</v>
      </c>
      <c r="Z17" t="e">
        <f t="shared" si="3"/>
        <v>#REF!</v>
      </c>
      <c r="AA17" t="e">
        <f t="shared" si="4"/>
        <v>#REF!</v>
      </c>
    </row>
    <row r="18" spans="1:27" x14ac:dyDescent="0.35">
      <c r="A18" s="54"/>
      <c r="B18" s="5" t="s">
        <v>34</v>
      </c>
      <c r="C18" s="5" t="e">
        <f t="shared" ref="C18:J18" si="11">SUM(C16:C17)</f>
        <v>#REF!</v>
      </c>
      <c r="D18" s="5" t="e">
        <f t="shared" si="11"/>
        <v>#REF!</v>
      </c>
      <c r="E18" s="5">
        <f t="shared" si="11"/>
        <v>0</v>
      </c>
      <c r="F18" s="5">
        <f t="shared" si="11"/>
        <v>0</v>
      </c>
      <c r="G18" s="5" t="e">
        <f t="shared" si="11"/>
        <v>#REF!</v>
      </c>
      <c r="H18" s="5" t="e">
        <f t="shared" si="11"/>
        <v>#REF!</v>
      </c>
      <c r="I18" s="5" t="e">
        <f t="shared" si="11"/>
        <v>#REF!</v>
      </c>
      <c r="J18" s="5" t="e">
        <f t="shared" si="11"/>
        <v>#REF!</v>
      </c>
      <c r="L18" t="e">
        <f t="shared" si="0"/>
        <v>#REF!</v>
      </c>
      <c r="M18" t="e">
        <f t="shared" si="1"/>
        <v>#REF!</v>
      </c>
      <c r="O18" s="65"/>
      <c r="P18" s="5" t="s">
        <v>34</v>
      </c>
      <c r="Q18" s="5" t="e">
        <f t="shared" ref="Q18:X18" si="12">SUM(Q16:Q17)</f>
        <v>#REF!</v>
      </c>
      <c r="R18" s="5" t="e">
        <f t="shared" si="12"/>
        <v>#REF!</v>
      </c>
      <c r="S18" s="5">
        <f t="shared" si="12"/>
        <v>0</v>
      </c>
      <c r="T18" s="5">
        <f t="shared" si="12"/>
        <v>0</v>
      </c>
      <c r="U18" s="5" t="e">
        <f t="shared" si="12"/>
        <v>#REF!</v>
      </c>
      <c r="V18" s="5" t="e">
        <f t="shared" si="12"/>
        <v>#REF!</v>
      </c>
      <c r="W18" s="5" t="e">
        <f t="shared" si="12"/>
        <v>#REF!</v>
      </c>
      <c r="X18" s="5" t="e">
        <f t="shared" si="12"/>
        <v>#REF!</v>
      </c>
      <c r="Z18" t="e">
        <f t="shared" si="3"/>
        <v>#REF!</v>
      </c>
      <c r="AA18" t="e">
        <f t="shared" si="4"/>
        <v>#REF!</v>
      </c>
    </row>
    <row r="19" spans="1:27" x14ac:dyDescent="0.35">
      <c r="A19" s="66" t="s">
        <v>24</v>
      </c>
      <c r="B19" s="1" t="s">
        <v>17</v>
      </c>
      <c r="C19" s="1" t="e">
        <f>COUNTIFS(#REF!, "m",#REF!, "*severely wasted*",#REF!, "*3*")</f>
        <v>#REF!</v>
      </c>
      <c r="D19" s="1" t="e">
        <f>COUNTIFS(#REF!, "m",#REF!, "wasted",#REF!, "*3*")</f>
        <v>#REF!</v>
      </c>
      <c r="E19" s="1">
        <v>0</v>
      </c>
      <c r="F19" s="1">
        <v>0</v>
      </c>
      <c r="G19" s="1" t="e">
        <f>COUNTIFS(#REF!, "m",#REF!, "severely stunted",#REF!, "*3*",#REF!, "severely wasted")
+ COUNTIFS(#REF!, "m",#REF!, "severely stunted",#REF!, "*3*",#REF!, "wasted")</f>
        <v>#REF!</v>
      </c>
      <c r="H19" s="1" t="e">
        <f>COUNTIFS(#REF!, "m",#REF!, "stunted",#REF!, "*3*",#REF!, "severely wasted")
+ COUNTIFS(#REF!, "m",#REF!, "stunted",#REF!, "*3*",#REF!, "wasted")</f>
        <v>#REF!</v>
      </c>
      <c r="I19" s="1" t="e">
        <f>COUNTIFS(#REF!, "m",#REF!, "*normal*",#REF!, "*3*",#REF!, "severely wasted")
+ COUNTIFS(#REF!, "m",#REF!, "*normal*",#REF!, "*3*",#REF!, "wasted")</f>
        <v>#REF!</v>
      </c>
      <c r="J19" s="1" t="e">
        <f>COUNTIFS(#REF!, "m",#REF!, "tall",#REF!, "*3*",#REF!, "severely wasted")
+ COUNTIFS(#REF!, "m",#REF!, "tall",#REF!, "*3*",#REF!, "wasted")</f>
        <v>#REF!</v>
      </c>
      <c r="L19" t="e">
        <f t="shared" si="0"/>
        <v>#REF!</v>
      </c>
      <c r="M19" t="e">
        <f t="shared" si="1"/>
        <v>#REF!</v>
      </c>
      <c r="O19" s="52" t="s">
        <v>24</v>
      </c>
      <c r="P19" s="1" t="s">
        <v>17</v>
      </c>
      <c r="Q19" s="1" t="e">
        <f>C19</f>
        <v>#REF!</v>
      </c>
      <c r="R19" s="1" t="e">
        <f t="shared" ref="R19:X19" si="13">D19</f>
        <v>#REF!</v>
      </c>
      <c r="S19" s="1">
        <f t="shared" si="13"/>
        <v>0</v>
      </c>
      <c r="T19" s="1">
        <f t="shared" si="13"/>
        <v>0</v>
      </c>
      <c r="U19" s="1" t="e">
        <f t="shared" si="13"/>
        <v>#REF!</v>
      </c>
      <c r="V19" s="1" t="e">
        <f t="shared" si="13"/>
        <v>#REF!</v>
      </c>
      <c r="W19" s="1" t="e">
        <f t="shared" si="13"/>
        <v>#REF!</v>
      </c>
      <c r="X19" s="1" t="e">
        <f t="shared" si="13"/>
        <v>#REF!</v>
      </c>
      <c r="Z19" t="e">
        <f t="shared" si="3"/>
        <v>#REF!</v>
      </c>
      <c r="AA19" t="e">
        <f t="shared" si="4"/>
        <v>#REF!</v>
      </c>
    </row>
    <row r="20" spans="1:27" x14ac:dyDescent="0.35">
      <c r="A20" s="53"/>
      <c r="B20" s="1" t="s">
        <v>19</v>
      </c>
      <c r="C20" s="1" t="e">
        <f>COUNTIFS(#REF!, "f",#REF!, "*severely wasted*",#REF!, "*3*")</f>
        <v>#REF!</v>
      </c>
      <c r="D20" s="1" t="e">
        <f>COUNTIFS(#REF!, "f",#REF!, "wasted",#REF!, "*3*")</f>
        <v>#REF!</v>
      </c>
      <c r="E20" s="1">
        <v>0</v>
      </c>
      <c r="F20" s="1">
        <v>0</v>
      </c>
      <c r="G20" s="1" t="e">
        <f>COUNTIFS(#REF!, "f",#REF!, "severely stunted",#REF!, "*3*",#REF!, "severely wasted")
+ COUNTIFS(#REF!, "f",#REF!, "severely stunted",#REF!, "*3*",#REF!, "wasted")</f>
        <v>#REF!</v>
      </c>
      <c r="H20" s="1" t="e">
        <f>COUNTIFS(#REF!, "f",#REF!, "stunted",#REF!, "*3*",#REF!, "severely wasted")
+ COUNTIFS(#REF!, "f",#REF!, "stunted",#REF!, "*3*",#REF!, "wasted")</f>
        <v>#REF!</v>
      </c>
      <c r="I20" s="1" t="e">
        <f>COUNTIFS(#REF!, "f",#REF!, "*normal*",#REF!, "*3*",#REF!, "severely wasted")
+ COUNTIFS(#REF!, "f",#REF!, "*normal*",#REF!, "*3*",#REF!, "wasted")</f>
        <v>#REF!</v>
      </c>
      <c r="J20" s="1" t="e">
        <f>COUNTIFS(#REF!, "f",#REF!, "tall",#REF!, "*3*",#REF!, "severely wasted")
+ COUNTIFS(#REF!, "f",#REF!, "tall",#REF!, "*3*",#REF!, "wasted")</f>
        <v>#REF!</v>
      </c>
      <c r="L20" t="e">
        <f t="shared" si="0"/>
        <v>#REF!</v>
      </c>
      <c r="M20" t="e">
        <f t="shared" si="1"/>
        <v>#REF!</v>
      </c>
      <c r="O20" s="64"/>
      <c r="P20" s="1" t="s">
        <v>19</v>
      </c>
      <c r="Q20" s="1" t="e">
        <f>C20</f>
        <v>#REF!</v>
      </c>
      <c r="R20" s="1" t="e">
        <f t="shared" ref="R20" si="14">D20</f>
        <v>#REF!</v>
      </c>
      <c r="S20" s="1">
        <f t="shared" ref="S20" si="15">E20</f>
        <v>0</v>
      </c>
      <c r="T20" s="1">
        <f t="shared" ref="T20" si="16">F20</f>
        <v>0</v>
      </c>
      <c r="U20" s="1" t="e">
        <f t="shared" ref="U20" si="17">G20</f>
        <v>#REF!</v>
      </c>
      <c r="V20" s="1" t="e">
        <f t="shared" ref="V20" si="18">H20</f>
        <v>#REF!</v>
      </c>
      <c r="W20" s="1" t="e">
        <f t="shared" ref="W20" si="19">I20</f>
        <v>#REF!</v>
      </c>
      <c r="X20" s="1" t="e">
        <f t="shared" ref="X20" si="20">J20</f>
        <v>#REF!</v>
      </c>
      <c r="Z20" t="e">
        <f t="shared" si="3"/>
        <v>#REF!</v>
      </c>
      <c r="AA20" t="e">
        <f t="shared" si="4"/>
        <v>#REF!</v>
      </c>
    </row>
    <row r="21" spans="1:27" x14ac:dyDescent="0.35">
      <c r="A21" s="54"/>
      <c r="B21" s="5" t="s">
        <v>34</v>
      </c>
      <c r="C21" s="5" t="e">
        <f t="shared" ref="C21:J21" si="21">SUM(C19:C20)</f>
        <v>#REF!</v>
      </c>
      <c r="D21" s="5" t="e">
        <f t="shared" si="21"/>
        <v>#REF!</v>
      </c>
      <c r="E21" s="5">
        <f t="shared" si="21"/>
        <v>0</v>
      </c>
      <c r="F21" s="5">
        <f t="shared" si="21"/>
        <v>0</v>
      </c>
      <c r="G21" s="5" t="e">
        <f t="shared" si="21"/>
        <v>#REF!</v>
      </c>
      <c r="H21" s="5" t="e">
        <f t="shared" si="21"/>
        <v>#REF!</v>
      </c>
      <c r="I21" s="5" t="e">
        <f t="shared" si="21"/>
        <v>#REF!</v>
      </c>
      <c r="J21" s="5" t="e">
        <f t="shared" si="21"/>
        <v>#REF!</v>
      </c>
      <c r="L21" t="e">
        <f t="shared" si="0"/>
        <v>#REF!</v>
      </c>
      <c r="M21" t="e">
        <f t="shared" si="1"/>
        <v>#REF!</v>
      </c>
      <c r="O21" s="65"/>
      <c r="P21" s="5" t="s">
        <v>34</v>
      </c>
      <c r="Q21" s="5" t="e">
        <f t="shared" ref="Q21:X21" si="22">SUM(Q19:Q20)</f>
        <v>#REF!</v>
      </c>
      <c r="R21" s="5" t="e">
        <f t="shared" si="22"/>
        <v>#REF!</v>
      </c>
      <c r="S21" s="5">
        <f t="shared" si="22"/>
        <v>0</v>
      </c>
      <c r="T21" s="5">
        <f t="shared" si="22"/>
        <v>0</v>
      </c>
      <c r="U21" s="5" t="e">
        <f t="shared" si="22"/>
        <v>#REF!</v>
      </c>
      <c r="V21" s="5" t="e">
        <f t="shared" si="22"/>
        <v>#REF!</v>
      </c>
      <c r="W21" s="5" t="e">
        <f t="shared" si="22"/>
        <v>#REF!</v>
      </c>
      <c r="X21" s="5" t="e">
        <f t="shared" si="22"/>
        <v>#REF!</v>
      </c>
      <c r="Z21" t="e">
        <f t="shared" si="3"/>
        <v>#REF!</v>
      </c>
      <c r="AA21" t="e">
        <f t="shared" si="4"/>
        <v>#REF!</v>
      </c>
    </row>
    <row r="22" spans="1:27" x14ac:dyDescent="0.35">
      <c r="A22" s="66" t="s">
        <v>27</v>
      </c>
      <c r="B22" s="1" t="s">
        <v>17</v>
      </c>
      <c r="C22" s="1" t="e">
        <f>COUNTIFS(#REF!, "m",#REF!, "*severely wasted*",#REF!, "*4*")</f>
        <v>#REF!</v>
      </c>
      <c r="D22" s="1" t="e">
        <f>COUNTIFS(#REF!, "m",#REF!, "wasted",#REF!, "*4*")</f>
        <v>#REF!</v>
      </c>
      <c r="E22" s="1">
        <v>0</v>
      </c>
      <c r="F22" s="1">
        <v>0</v>
      </c>
      <c r="G22" s="1" t="e">
        <f>COUNTIFS(#REF!, "m",#REF!, "severely stunted",#REF!, "*4*",#REF!, "severely wasted")
+ COUNTIFS(#REF!, "m",#REF!, "severely stunted",#REF!, "*4*",#REF!, "wasted")</f>
        <v>#REF!</v>
      </c>
      <c r="H22" s="1" t="e">
        <f>COUNTIFS(#REF!, "m",#REF!, "stunted",#REF!, "*4*",#REF!, "severely wasted")
+ COUNTIFS(#REF!, "m",#REF!, "stunted",#REF!, "*4*",#REF!, "wasted")</f>
        <v>#REF!</v>
      </c>
      <c r="I22" s="1" t="e">
        <f>COUNTIFS(#REF!, "m",#REF!, "*normal*",#REF!, "*4*",#REF!, "severely wasted")
+ COUNTIFS(#REF!, "m",#REF!, "*normal*",#REF!, "*4*",#REF!, "wasted")</f>
        <v>#REF!</v>
      </c>
      <c r="J22" s="1" t="e">
        <f>COUNTIFS(#REF!, "m",#REF!, "tall",#REF!, "*4*",#REF!, "severely wasted")
+ COUNTIFS(#REF!, "m",#REF!, "tall",#REF!, "*4*",#REF!, "wasted")</f>
        <v>#REF!</v>
      </c>
      <c r="L22" t="e">
        <f t="shared" si="0"/>
        <v>#REF!</v>
      </c>
      <c r="M22" t="e">
        <f t="shared" si="1"/>
        <v>#REF!</v>
      </c>
      <c r="O22" s="52" t="s">
        <v>27</v>
      </c>
      <c r="P22" s="1" t="s">
        <v>17</v>
      </c>
      <c r="Q22" s="1" t="e">
        <f>C22</f>
        <v>#REF!</v>
      </c>
      <c r="R22" s="1" t="e">
        <f t="shared" ref="R22:X22" si="23">D22</f>
        <v>#REF!</v>
      </c>
      <c r="S22" s="1">
        <f t="shared" si="23"/>
        <v>0</v>
      </c>
      <c r="T22" s="1">
        <f t="shared" si="23"/>
        <v>0</v>
      </c>
      <c r="U22" s="1" t="e">
        <f t="shared" si="23"/>
        <v>#REF!</v>
      </c>
      <c r="V22" s="1" t="e">
        <f t="shared" si="23"/>
        <v>#REF!</v>
      </c>
      <c r="W22" s="1" t="e">
        <f t="shared" si="23"/>
        <v>#REF!</v>
      </c>
      <c r="X22" s="1" t="e">
        <f t="shared" si="23"/>
        <v>#REF!</v>
      </c>
      <c r="Z22" t="e">
        <f t="shared" si="3"/>
        <v>#REF!</v>
      </c>
      <c r="AA22" t="e">
        <f t="shared" si="4"/>
        <v>#REF!</v>
      </c>
    </row>
    <row r="23" spans="1:27" x14ac:dyDescent="0.35">
      <c r="A23" s="53"/>
      <c r="B23" s="1" t="s">
        <v>19</v>
      </c>
      <c r="C23" s="1" t="e">
        <f>COUNTIFS(#REF!, "f",#REF!, "*severely wasted*",#REF!, "*4*")</f>
        <v>#REF!</v>
      </c>
      <c r="D23" s="1" t="e">
        <f>COUNTIFS(#REF!, "f",#REF!, "wasted",#REF!, "*4*")</f>
        <v>#REF!</v>
      </c>
      <c r="E23" s="1">
        <v>0</v>
      </c>
      <c r="F23" s="1">
        <v>0</v>
      </c>
      <c r="G23" s="1" t="e">
        <f>COUNTIFS(#REF!, "f",#REF!, "severely stunted",#REF!, "*4*",#REF!, "severely wasted")
+ COUNTIFS(#REF!, "f",#REF!, "severely stunted",#REF!, "*4*",#REF!, "wasted")</f>
        <v>#REF!</v>
      </c>
      <c r="H23" s="1" t="e">
        <f>COUNTIFS(#REF!, "f",#REF!, "stunted",#REF!, "*4*",#REF!, "severely wasted")
+ COUNTIFS(#REF!, "f",#REF!, "stunted",#REF!, "*4*",#REF!, "wasted")</f>
        <v>#REF!</v>
      </c>
      <c r="I23" s="1" t="e">
        <f>COUNTIFS(#REF!, "f",#REF!, "*normal*",#REF!, "*4*",#REF!, "severely wasted")
+ COUNTIFS(#REF!, "f",#REF!, "*normal*",#REF!, "*4*",#REF!, "wasted")</f>
        <v>#REF!</v>
      </c>
      <c r="J23" s="1" t="e">
        <f>COUNTIFS(#REF!, "f",#REF!, "tall",#REF!, "*4*",#REF!, "severely wasted")
+ COUNTIFS(#REF!, "f",#REF!, "tall",#REF!, "*4*",#REF!, "wasted")</f>
        <v>#REF!</v>
      </c>
      <c r="L23" t="e">
        <f t="shared" si="0"/>
        <v>#REF!</v>
      </c>
      <c r="M23" t="e">
        <f t="shared" si="1"/>
        <v>#REF!</v>
      </c>
      <c r="O23" s="64"/>
      <c r="P23" s="1" t="s">
        <v>19</v>
      </c>
      <c r="Q23" s="1" t="e">
        <f>C23</f>
        <v>#REF!</v>
      </c>
      <c r="R23" s="1" t="e">
        <f t="shared" ref="R23" si="24">D23</f>
        <v>#REF!</v>
      </c>
      <c r="S23" s="1">
        <f t="shared" ref="S23" si="25">E23</f>
        <v>0</v>
      </c>
      <c r="T23" s="1">
        <f t="shared" ref="T23" si="26">F23</f>
        <v>0</v>
      </c>
      <c r="U23" s="1" t="e">
        <f t="shared" ref="U23" si="27">G23</f>
        <v>#REF!</v>
      </c>
      <c r="V23" s="1" t="e">
        <f t="shared" ref="V23" si="28">H23</f>
        <v>#REF!</v>
      </c>
      <c r="W23" s="1" t="e">
        <f t="shared" ref="W23" si="29">I23</f>
        <v>#REF!</v>
      </c>
      <c r="X23" s="1" t="e">
        <f t="shared" ref="X23" si="30">J23</f>
        <v>#REF!</v>
      </c>
      <c r="Z23" t="e">
        <f t="shared" si="3"/>
        <v>#REF!</v>
      </c>
      <c r="AA23" t="e">
        <f t="shared" si="4"/>
        <v>#REF!</v>
      </c>
    </row>
    <row r="24" spans="1:27" x14ac:dyDescent="0.35">
      <c r="A24" s="54"/>
      <c r="B24" s="5" t="s">
        <v>34</v>
      </c>
      <c r="C24" s="5" t="e">
        <f t="shared" ref="C24:J24" si="31">SUM(C22:C23)</f>
        <v>#REF!</v>
      </c>
      <c r="D24" s="5" t="e">
        <f t="shared" si="31"/>
        <v>#REF!</v>
      </c>
      <c r="E24" s="5">
        <f t="shared" si="31"/>
        <v>0</v>
      </c>
      <c r="F24" s="5">
        <f t="shared" si="31"/>
        <v>0</v>
      </c>
      <c r="G24" s="5" t="e">
        <f t="shared" si="31"/>
        <v>#REF!</v>
      </c>
      <c r="H24" s="5" t="e">
        <f t="shared" si="31"/>
        <v>#REF!</v>
      </c>
      <c r="I24" s="5" t="e">
        <f t="shared" si="31"/>
        <v>#REF!</v>
      </c>
      <c r="J24" s="5" t="e">
        <f t="shared" si="31"/>
        <v>#REF!</v>
      </c>
      <c r="L24" t="e">
        <f t="shared" si="0"/>
        <v>#REF!</v>
      </c>
      <c r="M24" t="e">
        <f t="shared" si="1"/>
        <v>#REF!</v>
      </c>
      <c r="O24" s="65"/>
      <c r="P24" s="5" t="s">
        <v>34</v>
      </c>
      <c r="Q24" s="5" t="e">
        <f t="shared" ref="Q24:X24" si="32">SUM(Q22:Q23)</f>
        <v>#REF!</v>
      </c>
      <c r="R24" s="5" t="e">
        <f t="shared" si="32"/>
        <v>#REF!</v>
      </c>
      <c r="S24" s="5">
        <f t="shared" si="32"/>
        <v>0</v>
      </c>
      <c r="T24" s="5">
        <f t="shared" si="32"/>
        <v>0</v>
      </c>
      <c r="U24" s="5" t="e">
        <f t="shared" si="32"/>
        <v>#REF!</v>
      </c>
      <c r="V24" s="5" t="e">
        <f t="shared" si="32"/>
        <v>#REF!</v>
      </c>
      <c r="W24" s="5" t="e">
        <f t="shared" si="32"/>
        <v>#REF!</v>
      </c>
      <c r="X24" s="5" t="e">
        <f t="shared" si="32"/>
        <v>#REF!</v>
      </c>
      <c r="Z24" t="e">
        <f t="shared" si="3"/>
        <v>#REF!</v>
      </c>
      <c r="AA24" t="e">
        <f t="shared" si="4"/>
        <v>#REF!</v>
      </c>
    </row>
    <row r="25" spans="1:27" x14ac:dyDescent="0.35">
      <c r="A25" s="66" t="s">
        <v>28</v>
      </c>
      <c r="B25" s="1" t="s">
        <v>17</v>
      </c>
      <c r="C25" s="1" t="e">
        <f>COUNTIFS(#REF!, "m",#REF!, "*severely wasted*",#REF!, "*5*")</f>
        <v>#REF!</v>
      </c>
      <c r="D25" s="1" t="e">
        <f>COUNTIFS(#REF!, "m",#REF!, "wasted",#REF!, "*5*")</f>
        <v>#REF!</v>
      </c>
      <c r="E25" s="1">
        <v>0</v>
      </c>
      <c r="F25" s="1">
        <v>0</v>
      </c>
      <c r="G25" s="1" t="e">
        <f>COUNTIFS(#REF!, "m",#REF!, "severely stunted",#REF!, "*5*",#REF!, "severely wasted")
+ COUNTIFS(#REF!, "m",#REF!, "severely stunted",#REF!, "*5*",#REF!, "wasted")</f>
        <v>#REF!</v>
      </c>
      <c r="H25" s="1" t="e">
        <f>COUNTIFS(#REF!, "m",#REF!, "stunted",#REF!, "*5*",#REF!, "severely wasted")
+ COUNTIFS(#REF!, "m",#REF!, "stunted",#REF!, "*5*",#REF!, "wasted")</f>
        <v>#REF!</v>
      </c>
      <c r="I25" s="1" t="e">
        <f>COUNTIFS(#REF!, "m",#REF!, "*normal*",#REF!, "*5*",#REF!, "severely wasted")
+ COUNTIFS(#REF!, "m",#REF!, "*normal*",#REF!, "*5*",#REF!, "wasted")</f>
        <v>#REF!</v>
      </c>
      <c r="J25" s="1" t="e">
        <f>COUNTIFS(#REF!, "m",#REF!, "tall",#REF!, "*5*",#REF!, "severely wasted")
+ COUNTIFS(#REF!, "m",#REF!, "tall",#REF!, "*5*",#REF!, "wasted")</f>
        <v>#REF!</v>
      </c>
      <c r="L25" t="e">
        <f t="shared" si="0"/>
        <v>#REF!</v>
      </c>
      <c r="M25" t="e">
        <f t="shared" si="1"/>
        <v>#REF!</v>
      </c>
      <c r="O25" s="52" t="s">
        <v>28</v>
      </c>
      <c r="P25" s="1" t="s">
        <v>17</v>
      </c>
      <c r="Q25" s="1" t="e">
        <f>C25</f>
        <v>#REF!</v>
      </c>
      <c r="R25" s="1" t="e">
        <f t="shared" ref="R25:X25" si="33">D25</f>
        <v>#REF!</v>
      </c>
      <c r="S25" s="1">
        <f t="shared" si="33"/>
        <v>0</v>
      </c>
      <c r="T25" s="1">
        <f t="shared" si="33"/>
        <v>0</v>
      </c>
      <c r="U25" s="1" t="e">
        <f t="shared" si="33"/>
        <v>#REF!</v>
      </c>
      <c r="V25" s="1" t="e">
        <f t="shared" si="33"/>
        <v>#REF!</v>
      </c>
      <c r="W25" s="1" t="e">
        <f t="shared" si="33"/>
        <v>#REF!</v>
      </c>
      <c r="X25" s="1" t="e">
        <f t="shared" si="33"/>
        <v>#REF!</v>
      </c>
      <c r="Z25" t="e">
        <f t="shared" si="3"/>
        <v>#REF!</v>
      </c>
      <c r="AA25" t="e">
        <f t="shared" si="4"/>
        <v>#REF!</v>
      </c>
    </row>
    <row r="26" spans="1:27" x14ac:dyDescent="0.35">
      <c r="A26" s="53"/>
      <c r="B26" s="1" t="s">
        <v>19</v>
      </c>
      <c r="C26" s="1" t="e">
        <f>COUNTIFS(#REF!, "f",#REF!, "*severely wasted*",#REF!, "*5*")</f>
        <v>#REF!</v>
      </c>
      <c r="D26" s="1" t="e">
        <f>COUNTIFS(#REF!, "f",#REF!, "wasted",#REF!, "*5*")</f>
        <v>#REF!</v>
      </c>
      <c r="E26" s="1">
        <v>0</v>
      </c>
      <c r="F26" s="1">
        <v>0</v>
      </c>
      <c r="G26" s="1" t="e">
        <f>COUNTIFS(#REF!, "f",#REF!, "severely stunted",#REF!, "*5*",#REF!, "severely wasted")
+ COUNTIFS(#REF!, "f",#REF!, "severely stunted",#REF!, "*5*",#REF!, "wasted")</f>
        <v>#REF!</v>
      </c>
      <c r="H26" s="1" t="e">
        <f>COUNTIFS(#REF!, "f",#REF!, "stunted",#REF!, "*5*",#REF!, "severely wasted")
+ COUNTIFS(#REF!, "f",#REF!, "stunted",#REF!, "*5*",#REF!, "wasted")</f>
        <v>#REF!</v>
      </c>
      <c r="I26" s="1" t="e">
        <f>COUNTIFS(#REF!, "f",#REF!, "*normal*",#REF!, "*5*",#REF!, "severely wasted")
+ COUNTIFS(#REF!, "f",#REF!, "*normal*",#REF!, "*5*",#REF!, "wasted")</f>
        <v>#REF!</v>
      </c>
      <c r="J26" s="1" t="e">
        <f>COUNTIFS(#REF!, "f",#REF!, "tall",#REF!, "*5*",#REF!, "severely wasted")
+ COUNTIFS(#REF!, "f",#REF!, "tall",#REF!, "*5*",#REF!, "wasted")</f>
        <v>#REF!</v>
      </c>
      <c r="L26" t="e">
        <f t="shared" si="0"/>
        <v>#REF!</v>
      </c>
      <c r="M26" t="e">
        <f t="shared" si="1"/>
        <v>#REF!</v>
      </c>
      <c r="O26" s="64"/>
      <c r="P26" s="1" t="s">
        <v>19</v>
      </c>
      <c r="Q26" s="1" t="e">
        <f>C26</f>
        <v>#REF!</v>
      </c>
      <c r="R26" s="1" t="e">
        <f t="shared" ref="R26" si="34">D26</f>
        <v>#REF!</v>
      </c>
      <c r="S26" s="1">
        <f t="shared" ref="S26" si="35">E26</f>
        <v>0</v>
      </c>
      <c r="T26" s="1">
        <f t="shared" ref="T26" si="36">F26</f>
        <v>0</v>
      </c>
      <c r="U26" s="1" t="e">
        <f t="shared" ref="U26" si="37">G26</f>
        <v>#REF!</v>
      </c>
      <c r="V26" s="1" t="e">
        <f t="shared" ref="V26" si="38">H26</f>
        <v>#REF!</v>
      </c>
      <c r="W26" s="1" t="e">
        <f t="shared" ref="W26" si="39">I26</f>
        <v>#REF!</v>
      </c>
      <c r="X26" s="1" t="e">
        <f t="shared" ref="X26" si="40">J26</f>
        <v>#REF!</v>
      </c>
      <c r="Z26" t="e">
        <f t="shared" si="3"/>
        <v>#REF!</v>
      </c>
      <c r="AA26" t="e">
        <f t="shared" si="4"/>
        <v>#REF!</v>
      </c>
    </row>
    <row r="27" spans="1:27" x14ac:dyDescent="0.35">
      <c r="A27" s="54"/>
      <c r="B27" s="5" t="s">
        <v>34</v>
      </c>
      <c r="C27" s="5" t="e">
        <f t="shared" ref="C27:J27" si="41">SUM(C25:C26)</f>
        <v>#REF!</v>
      </c>
      <c r="D27" s="5" t="e">
        <f t="shared" si="41"/>
        <v>#REF!</v>
      </c>
      <c r="E27" s="5">
        <f t="shared" si="41"/>
        <v>0</v>
      </c>
      <c r="F27" s="5">
        <f t="shared" si="41"/>
        <v>0</v>
      </c>
      <c r="G27" s="5" t="e">
        <f t="shared" si="41"/>
        <v>#REF!</v>
      </c>
      <c r="H27" s="5" t="e">
        <f t="shared" si="41"/>
        <v>#REF!</v>
      </c>
      <c r="I27" s="5" t="e">
        <f t="shared" si="41"/>
        <v>#REF!</v>
      </c>
      <c r="J27" s="5" t="e">
        <f t="shared" si="41"/>
        <v>#REF!</v>
      </c>
      <c r="L27" t="e">
        <f t="shared" si="0"/>
        <v>#REF!</v>
      </c>
      <c r="M27" t="e">
        <f t="shared" si="1"/>
        <v>#REF!</v>
      </c>
      <c r="O27" s="65"/>
      <c r="P27" s="5" t="s">
        <v>34</v>
      </c>
      <c r="Q27" s="5" t="e">
        <f t="shared" ref="Q27:X27" si="42">SUM(Q25:Q26)</f>
        <v>#REF!</v>
      </c>
      <c r="R27" s="5" t="e">
        <f t="shared" si="42"/>
        <v>#REF!</v>
      </c>
      <c r="S27" s="5">
        <f t="shared" si="42"/>
        <v>0</v>
      </c>
      <c r="T27" s="5">
        <f t="shared" si="42"/>
        <v>0</v>
      </c>
      <c r="U27" s="5" t="e">
        <f t="shared" si="42"/>
        <v>#REF!</v>
      </c>
      <c r="V27" s="5" t="e">
        <f t="shared" si="42"/>
        <v>#REF!</v>
      </c>
      <c r="W27" s="5" t="e">
        <f t="shared" si="42"/>
        <v>#REF!</v>
      </c>
      <c r="X27" s="5" t="e">
        <f t="shared" si="42"/>
        <v>#REF!</v>
      </c>
      <c r="Z27" t="e">
        <f t="shared" si="3"/>
        <v>#REF!</v>
      </c>
      <c r="AA27" t="e">
        <f t="shared" si="4"/>
        <v>#REF!</v>
      </c>
    </row>
    <row r="28" spans="1:27" x14ac:dyDescent="0.35">
      <c r="A28" s="66" t="s">
        <v>25</v>
      </c>
      <c r="B28" s="1" t="s">
        <v>17</v>
      </c>
      <c r="C28" s="1" t="e">
        <f>COUNTIFS(#REF!, "m",#REF!, "*severely wasted*",#REF!, "*6*")</f>
        <v>#REF!</v>
      </c>
      <c r="D28" s="1" t="e">
        <f>COUNTIFS(#REF!, "m",#REF!, "wasted",#REF!, "*6*")</f>
        <v>#REF!</v>
      </c>
      <c r="E28" s="1">
        <v>0</v>
      </c>
      <c r="F28" s="1">
        <v>0</v>
      </c>
      <c r="G28" s="1" t="e">
        <f>COUNTIFS(#REF!, "m",#REF!, "severely stunted",#REF!, "*6*",#REF!, "severely wasted")
+ COUNTIFS(#REF!, "m",#REF!, "severely stunted",#REF!, "*6*",#REF!, "wasted")</f>
        <v>#REF!</v>
      </c>
      <c r="H28" s="1" t="e">
        <f>COUNTIFS(#REF!, "m",#REF!, "stunted",#REF!, "*6*",#REF!, "severely wasted")
+ COUNTIFS(#REF!, "m",#REF!, "stunted",#REF!, "*6*",#REF!, "wasted")</f>
        <v>#REF!</v>
      </c>
      <c r="I28" s="1" t="e">
        <f>COUNTIFS(#REF!, "m",#REF!, "*normal*",#REF!, "*6*",#REF!, "severely wasted")
+ COUNTIFS(#REF!, "m",#REF!, "*normal*",#REF!, "*6*",#REF!, "wasted")</f>
        <v>#REF!</v>
      </c>
      <c r="J28" s="1" t="e">
        <f>COUNTIFS(#REF!, "m",#REF!, "tall",#REF!, "*6*",#REF!, "severely wasted")
+ COUNTIFS(#REF!, "m",#REF!, "tall",#REF!, "*6*",#REF!, "wasted")</f>
        <v>#REF!</v>
      </c>
      <c r="L28" t="e">
        <f t="shared" si="0"/>
        <v>#REF!</v>
      </c>
      <c r="M28" t="e">
        <f t="shared" si="1"/>
        <v>#REF!</v>
      </c>
      <c r="O28" s="52" t="s">
        <v>25</v>
      </c>
      <c r="P28" s="1" t="s">
        <v>17</v>
      </c>
      <c r="Q28" s="1" t="e">
        <f>C28</f>
        <v>#REF!</v>
      </c>
      <c r="R28" s="1" t="e">
        <f t="shared" ref="R28:X29" si="43">D28</f>
        <v>#REF!</v>
      </c>
      <c r="S28" s="1">
        <f t="shared" si="43"/>
        <v>0</v>
      </c>
      <c r="T28" s="1">
        <f t="shared" si="43"/>
        <v>0</v>
      </c>
      <c r="U28" s="1" t="e">
        <f t="shared" si="43"/>
        <v>#REF!</v>
      </c>
      <c r="V28" s="1" t="e">
        <f t="shared" si="43"/>
        <v>#REF!</v>
      </c>
      <c r="W28" s="1" t="e">
        <f t="shared" si="43"/>
        <v>#REF!</v>
      </c>
      <c r="X28" s="1" t="e">
        <f t="shared" si="43"/>
        <v>#REF!</v>
      </c>
      <c r="Z28" t="e">
        <f t="shared" si="3"/>
        <v>#REF!</v>
      </c>
      <c r="AA28" t="e">
        <f t="shared" si="4"/>
        <v>#REF!</v>
      </c>
    </row>
    <row r="29" spans="1:27" x14ac:dyDescent="0.35">
      <c r="A29" s="53"/>
      <c r="B29" s="1" t="s">
        <v>19</v>
      </c>
      <c r="C29" s="1" t="e">
        <f>COUNTIFS(#REF!, "f",#REF!, "*severely wasted*",#REF!, "*6*")</f>
        <v>#REF!</v>
      </c>
      <c r="D29" s="1" t="e">
        <f>COUNTIFS(#REF!, "f",#REF!, "wasted",#REF!, "*6*")</f>
        <v>#REF!</v>
      </c>
      <c r="E29" s="1">
        <v>0</v>
      </c>
      <c r="F29" s="1">
        <v>0</v>
      </c>
      <c r="G29" s="1" t="e">
        <f>COUNTIFS(#REF!, "f",#REF!, "severely stunted",#REF!, "*6*",#REF!, "severely wasted")
+ COUNTIFS(#REF!, "f",#REF!, "severely stunted",#REF!, "*6*",#REF!, "wasted")</f>
        <v>#REF!</v>
      </c>
      <c r="H29" s="1" t="e">
        <f>COUNTIFS(#REF!, "f",#REF!, "stunted",#REF!, "*6*",#REF!, "severely wasted")
+ COUNTIFS(#REF!, "f",#REF!, "stunted",#REF!, "*6*",#REF!, "wasted")</f>
        <v>#REF!</v>
      </c>
      <c r="I29" s="1" t="e">
        <f>COUNTIFS(#REF!, "f",#REF!, "*normal*",#REF!, "*6*",#REF!, "severely wasted")
+ COUNTIFS(#REF!, "f",#REF!, "*normal*",#REF!, "*6*",#REF!, "wasted")</f>
        <v>#REF!</v>
      </c>
      <c r="J29" s="1" t="e">
        <f>COUNTIFS(#REF!, "f",#REF!, "tall",#REF!, "*6*",#REF!, "severely wasted")
+ COUNTIFS(#REF!, "f",#REF!, "tall",#REF!, "*6*",#REF!, "wasted")</f>
        <v>#REF!</v>
      </c>
      <c r="L29" t="e">
        <f t="shared" si="0"/>
        <v>#REF!</v>
      </c>
      <c r="M29" t="e">
        <f t="shared" si="1"/>
        <v>#REF!</v>
      </c>
      <c r="O29" s="64"/>
      <c r="P29" s="1" t="s">
        <v>19</v>
      </c>
      <c r="Q29" s="1" t="e">
        <f>C29</f>
        <v>#REF!</v>
      </c>
      <c r="R29" s="1" t="e">
        <f t="shared" si="43"/>
        <v>#REF!</v>
      </c>
      <c r="S29" s="1">
        <f t="shared" si="43"/>
        <v>0</v>
      </c>
      <c r="T29" s="1">
        <f t="shared" si="43"/>
        <v>0</v>
      </c>
      <c r="U29" s="1" t="e">
        <f t="shared" si="43"/>
        <v>#REF!</v>
      </c>
      <c r="V29" s="1" t="e">
        <f t="shared" si="43"/>
        <v>#REF!</v>
      </c>
      <c r="W29" s="1" t="e">
        <f t="shared" si="43"/>
        <v>#REF!</v>
      </c>
      <c r="X29" s="1" t="e">
        <f t="shared" si="43"/>
        <v>#REF!</v>
      </c>
      <c r="Z29" t="e">
        <f t="shared" si="3"/>
        <v>#REF!</v>
      </c>
      <c r="AA29" t="e">
        <f t="shared" si="4"/>
        <v>#REF!</v>
      </c>
    </row>
    <row r="30" spans="1:27" x14ac:dyDescent="0.35">
      <c r="A30" s="54"/>
      <c r="B30" s="5" t="s">
        <v>34</v>
      </c>
      <c r="C30" s="5" t="e">
        <f t="shared" ref="C30:J30" si="44">SUM(C28:C29)</f>
        <v>#REF!</v>
      </c>
      <c r="D30" s="5" t="e">
        <f t="shared" si="44"/>
        <v>#REF!</v>
      </c>
      <c r="E30" s="5">
        <f t="shared" si="44"/>
        <v>0</v>
      </c>
      <c r="F30" s="5">
        <f t="shared" si="44"/>
        <v>0</v>
      </c>
      <c r="G30" s="5" t="e">
        <f t="shared" si="44"/>
        <v>#REF!</v>
      </c>
      <c r="H30" s="5" t="e">
        <f t="shared" si="44"/>
        <v>#REF!</v>
      </c>
      <c r="I30" s="5" t="e">
        <f t="shared" si="44"/>
        <v>#REF!</v>
      </c>
      <c r="J30" s="5" t="e">
        <f t="shared" si="44"/>
        <v>#REF!</v>
      </c>
      <c r="L30" t="e">
        <f t="shared" si="0"/>
        <v>#REF!</v>
      </c>
      <c r="M30" t="e">
        <f t="shared" si="1"/>
        <v>#REF!</v>
      </c>
      <c r="O30" s="65"/>
      <c r="P30" s="5" t="s">
        <v>34</v>
      </c>
      <c r="Q30" s="5" t="e">
        <f t="shared" ref="Q30:X30" si="45">SUM(Q28:Q29)</f>
        <v>#REF!</v>
      </c>
      <c r="R30" s="5" t="e">
        <f t="shared" si="45"/>
        <v>#REF!</v>
      </c>
      <c r="S30" s="5">
        <f t="shared" si="45"/>
        <v>0</v>
      </c>
      <c r="T30" s="5">
        <f t="shared" si="45"/>
        <v>0</v>
      </c>
      <c r="U30" s="5" t="e">
        <f t="shared" si="45"/>
        <v>#REF!</v>
      </c>
      <c r="V30" s="5" t="e">
        <f t="shared" si="45"/>
        <v>#REF!</v>
      </c>
      <c r="W30" s="5" t="e">
        <f t="shared" si="45"/>
        <v>#REF!</v>
      </c>
      <c r="X30" s="5" t="e">
        <f t="shared" si="45"/>
        <v>#REF!</v>
      </c>
      <c r="Z30" t="e">
        <f t="shared" si="3"/>
        <v>#REF!</v>
      </c>
      <c r="AA30" t="e">
        <f t="shared" si="4"/>
        <v>#REF!</v>
      </c>
    </row>
    <row r="31" spans="1:27" x14ac:dyDescent="0.35">
      <c r="A31" s="66" t="s">
        <v>35</v>
      </c>
      <c r="B31" s="1" t="s">
        <v>17</v>
      </c>
      <c r="C31" s="1" t="e">
        <f>COUNTIFS(#REF!, "m",#REF!, "*severely wasted*",#REF!, "non-graded")</f>
        <v>#REF!</v>
      </c>
      <c r="D31" s="1" t="e">
        <f>COUNTIFS(#REF!, "m",#REF!, "wasted",#REF!, "non-graded")</f>
        <v>#REF!</v>
      </c>
      <c r="E31" s="1">
        <v>0</v>
      </c>
      <c r="F31" s="1">
        <v>0</v>
      </c>
      <c r="G31" s="1" t="e">
        <f>COUNTIFS(#REF!, "m",#REF!, "severely stunted",#REF!, "non-graded",#REF!, "severely wasted")
+ COUNTIFS(#REF!, "m",#REF!, "severely stunted",#REF!, "non-graded",#REF!, "wasted")</f>
        <v>#REF!</v>
      </c>
      <c r="H31" s="1" t="e">
        <f>COUNTIFS(#REF!, "m",#REF!, "stunted",#REF!, "non-graded",#REF!, "severely wasted")
+ COUNTIFS(#REF!, "m",#REF!, "stunted",#REF!, "non-graded",#REF!, "wasted")</f>
        <v>#REF!</v>
      </c>
      <c r="I31" s="1" t="e">
        <f>COUNTIFS(#REF!, "m",#REF!, "*normal*",#REF!, "non-graded",#REF!, "severely wasted")
+ COUNTIFS(#REF!, "m",#REF!, "*normal*",#REF!, "non-graded",#REF!, "wasted")</f>
        <v>#REF!</v>
      </c>
      <c r="J31" s="1" t="e">
        <f>COUNTIFS(#REF!, "m",#REF!, "tall",#REF!, "non-graded",#REF!, "severely wasted")
+ COUNTIFS(#REF!, "m",#REF!, "tall",#REF!, "non-graded",#REF!, "wasted")</f>
        <v>#REF!</v>
      </c>
      <c r="L31" t="e">
        <f t="shared" si="0"/>
        <v>#REF!</v>
      </c>
      <c r="M31" t="e">
        <f t="shared" si="1"/>
        <v>#REF!</v>
      </c>
      <c r="O31" s="52" t="s">
        <v>35</v>
      </c>
      <c r="P31" s="1" t="s">
        <v>17</v>
      </c>
      <c r="Q31" s="1" t="e">
        <f>C31</f>
        <v>#REF!</v>
      </c>
      <c r="R31" s="1" t="e">
        <f t="shared" ref="R31:X32" si="46">D31</f>
        <v>#REF!</v>
      </c>
      <c r="S31" s="1">
        <f t="shared" si="46"/>
        <v>0</v>
      </c>
      <c r="T31" s="1">
        <f t="shared" si="46"/>
        <v>0</v>
      </c>
      <c r="U31" s="1" t="e">
        <f t="shared" si="46"/>
        <v>#REF!</v>
      </c>
      <c r="V31" s="1" t="e">
        <f t="shared" si="46"/>
        <v>#REF!</v>
      </c>
      <c r="W31" s="1" t="e">
        <f t="shared" si="46"/>
        <v>#REF!</v>
      </c>
      <c r="X31" s="1" t="e">
        <f t="shared" si="46"/>
        <v>#REF!</v>
      </c>
      <c r="Z31" t="e">
        <f t="shared" si="3"/>
        <v>#REF!</v>
      </c>
      <c r="AA31" t="e">
        <f t="shared" si="4"/>
        <v>#REF!</v>
      </c>
    </row>
    <row r="32" spans="1:27" x14ac:dyDescent="0.35">
      <c r="A32" s="53"/>
      <c r="B32" s="1" t="s">
        <v>19</v>
      </c>
      <c r="C32" s="1" t="e">
        <f>COUNTIFS(#REF!, "f",#REF!, "*severely wasted*",#REF!, "non-graded")</f>
        <v>#REF!</v>
      </c>
      <c r="D32" s="1" t="e">
        <f>COUNTIFS(#REF!, "f",#REF!, "wasted",#REF!, "non-graded")</f>
        <v>#REF!</v>
      </c>
      <c r="E32" s="1">
        <v>0</v>
      </c>
      <c r="F32" s="1">
        <v>0</v>
      </c>
      <c r="G32" s="1" t="e">
        <f>COUNTIFS(#REF!, "f",#REF!, "severely stunted",#REF!, "non-graded",#REF!, "severely wasted")
+ COUNTIFS(#REF!, "f",#REF!, "severely stunted",#REF!, "non-graded",#REF!, "wasted")</f>
        <v>#REF!</v>
      </c>
      <c r="H32" s="1" t="e">
        <f>COUNTIFS(#REF!, "f",#REF!, "stunted",#REF!, "non-graded",#REF!, "severely wasted")
+ COUNTIFS(#REF!, "f",#REF!, "stunted",#REF!, "non-graded",#REF!, "wasted")</f>
        <v>#REF!</v>
      </c>
      <c r="I32" s="1" t="e">
        <f>COUNTIFS(#REF!, "f",#REF!, "*normal*",#REF!, "non-graded",#REF!, "severely wasted")
+ COUNTIFS(#REF!, "f",#REF!, "*normal*",#REF!, "non-graded",#REF!, "wasted")</f>
        <v>#REF!</v>
      </c>
      <c r="J32" s="1" t="e">
        <f>COUNTIFS(#REF!, "f",#REF!, "tall",#REF!, "non-graded",#REF!, "severely wasted")
+ COUNTIFS(#REF!, "f",#REF!, "tall",#REF!, "non-graded",#REF!, "wasted")</f>
        <v>#REF!</v>
      </c>
      <c r="L32" t="e">
        <f t="shared" si="0"/>
        <v>#REF!</v>
      </c>
      <c r="M32" t="e">
        <f t="shared" si="1"/>
        <v>#REF!</v>
      </c>
      <c r="O32" s="64"/>
      <c r="P32" s="1" t="s">
        <v>19</v>
      </c>
      <c r="Q32" s="1" t="e">
        <f>C32</f>
        <v>#REF!</v>
      </c>
      <c r="R32" s="1" t="e">
        <f t="shared" si="46"/>
        <v>#REF!</v>
      </c>
      <c r="S32" s="1">
        <f t="shared" si="46"/>
        <v>0</v>
      </c>
      <c r="T32" s="1">
        <f t="shared" si="46"/>
        <v>0</v>
      </c>
      <c r="U32" s="1" t="e">
        <f t="shared" si="46"/>
        <v>#REF!</v>
      </c>
      <c r="V32" s="1" t="e">
        <f t="shared" si="46"/>
        <v>#REF!</v>
      </c>
      <c r="W32" s="1" t="e">
        <f t="shared" si="46"/>
        <v>#REF!</v>
      </c>
      <c r="X32" s="1" t="e">
        <f t="shared" si="46"/>
        <v>#REF!</v>
      </c>
      <c r="Z32" t="e">
        <f t="shared" si="3"/>
        <v>#REF!</v>
      </c>
      <c r="AA32" t="e">
        <f t="shared" si="4"/>
        <v>#REF!</v>
      </c>
    </row>
    <row r="33" spans="1:27" x14ac:dyDescent="0.35">
      <c r="A33" s="54"/>
      <c r="B33" s="5" t="s">
        <v>34</v>
      </c>
      <c r="C33" s="5" t="e">
        <f t="shared" ref="C33:J33" si="47">SUM(C31:C32)</f>
        <v>#REF!</v>
      </c>
      <c r="D33" s="5" t="e">
        <f t="shared" si="47"/>
        <v>#REF!</v>
      </c>
      <c r="E33" s="5">
        <f t="shared" si="47"/>
        <v>0</v>
      </c>
      <c r="F33" s="5">
        <f t="shared" si="47"/>
        <v>0</v>
      </c>
      <c r="G33" s="5" t="e">
        <f t="shared" si="47"/>
        <v>#REF!</v>
      </c>
      <c r="H33" s="5" t="e">
        <f t="shared" si="47"/>
        <v>#REF!</v>
      </c>
      <c r="I33" s="5" t="e">
        <f t="shared" si="47"/>
        <v>#REF!</v>
      </c>
      <c r="J33" s="5" t="e">
        <f t="shared" si="47"/>
        <v>#REF!</v>
      </c>
      <c r="L33" t="e">
        <f t="shared" si="0"/>
        <v>#REF!</v>
      </c>
      <c r="M33" t="e">
        <f t="shared" si="1"/>
        <v>#REF!</v>
      </c>
      <c r="O33" s="65"/>
      <c r="P33" s="5" t="s">
        <v>34</v>
      </c>
      <c r="Q33" s="5" t="e">
        <f t="shared" ref="Q33:X33" si="48">SUM(Q31:Q32)</f>
        <v>#REF!</v>
      </c>
      <c r="R33" s="5" t="e">
        <f t="shared" si="48"/>
        <v>#REF!</v>
      </c>
      <c r="S33" s="5">
        <f t="shared" si="48"/>
        <v>0</v>
      </c>
      <c r="T33" s="5">
        <f t="shared" si="48"/>
        <v>0</v>
      </c>
      <c r="U33" s="5" t="e">
        <f t="shared" si="48"/>
        <v>#REF!</v>
      </c>
      <c r="V33" s="5" t="e">
        <f t="shared" si="48"/>
        <v>#REF!</v>
      </c>
      <c r="W33" s="5" t="e">
        <f t="shared" si="48"/>
        <v>#REF!</v>
      </c>
      <c r="X33" s="5" t="e">
        <f t="shared" si="48"/>
        <v>#REF!</v>
      </c>
      <c r="Z33" t="e">
        <f t="shared" si="3"/>
        <v>#REF!</v>
      </c>
      <c r="AA33" t="e">
        <f t="shared" si="4"/>
        <v>#REF!</v>
      </c>
    </row>
    <row r="34" spans="1:27" x14ac:dyDescent="0.35">
      <c r="A34" s="66" t="s">
        <v>36</v>
      </c>
      <c r="B34" s="1" t="s">
        <v>17</v>
      </c>
      <c r="C34" s="1" t="e">
        <f t="shared" ref="C34:J35" si="49">SUM(C10,C13,C16,C19,C22,C25,C28,C31)</f>
        <v>#REF!</v>
      </c>
      <c r="D34" s="1" t="e">
        <f t="shared" si="49"/>
        <v>#REF!</v>
      </c>
      <c r="E34" s="1" t="e">
        <f t="shared" si="49"/>
        <v>#REF!</v>
      </c>
      <c r="F34" s="1" t="e">
        <f t="shared" si="49"/>
        <v>#REF!</v>
      </c>
      <c r="G34" s="1" t="e">
        <f t="shared" si="49"/>
        <v>#REF!</v>
      </c>
      <c r="H34" s="1" t="e">
        <f t="shared" si="49"/>
        <v>#REF!</v>
      </c>
      <c r="I34" s="1" t="e">
        <f t="shared" si="49"/>
        <v>#REF!</v>
      </c>
      <c r="J34" s="1" t="e">
        <f t="shared" si="49"/>
        <v>#REF!</v>
      </c>
      <c r="L34" t="e">
        <f t="shared" si="0"/>
        <v>#REF!</v>
      </c>
      <c r="M34" t="e">
        <f t="shared" si="1"/>
        <v>#REF!</v>
      </c>
      <c r="O34" s="52" t="s">
        <v>36</v>
      </c>
      <c r="P34" s="1" t="s">
        <v>17</v>
      </c>
      <c r="Q34" s="1" t="e">
        <f t="shared" ref="Q34:X35" si="50">SUM(Q10,Q13,Q16,Q19,Q22,Q25,Q28,Q31)</f>
        <v>#REF!</v>
      </c>
      <c r="R34" s="1" t="e">
        <f t="shared" si="50"/>
        <v>#REF!</v>
      </c>
      <c r="S34" s="1" t="e">
        <f t="shared" si="50"/>
        <v>#REF!</v>
      </c>
      <c r="T34" s="1" t="e">
        <f t="shared" si="50"/>
        <v>#REF!</v>
      </c>
      <c r="U34" s="1" t="e">
        <f t="shared" si="50"/>
        <v>#REF!</v>
      </c>
      <c r="V34" s="1" t="e">
        <f t="shared" si="50"/>
        <v>#REF!</v>
      </c>
      <c r="W34" s="1" t="e">
        <f t="shared" si="50"/>
        <v>#REF!</v>
      </c>
      <c r="X34" s="1" t="e">
        <f t="shared" si="50"/>
        <v>#REF!</v>
      </c>
      <c r="Z34" t="e">
        <f t="shared" si="3"/>
        <v>#REF!</v>
      </c>
      <c r="AA34" t="e">
        <f t="shared" si="4"/>
        <v>#REF!</v>
      </c>
    </row>
    <row r="35" spans="1:27" x14ac:dyDescent="0.35">
      <c r="A35" s="53"/>
      <c r="B35" s="1" t="s">
        <v>19</v>
      </c>
      <c r="C35" s="1" t="e">
        <f t="shared" si="49"/>
        <v>#REF!</v>
      </c>
      <c r="D35" s="1" t="e">
        <f t="shared" si="49"/>
        <v>#REF!</v>
      </c>
      <c r="E35" s="1" t="e">
        <f t="shared" si="49"/>
        <v>#REF!</v>
      </c>
      <c r="F35" s="1" t="e">
        <f t="shared" si="49"/>
        <v>#REF!</v>
      </c>
      <c r="G35" s="1" t="e">
        <f t="shared" si="49"/>
        <v>#REF!</v>
      </c>
      <c r="H35" s="1" t="e">
        <f t="shared" si="49"/>
        <v>#REF!</v>
      </c>
      <c r="I35" s="1" t="e">
        <f t="shared" si="49"/>
        <v>#REF!</v>
      </c>
      <c r="J35" s="1" t="e">
        <f t="shared" si="49"/>
        <v>#REF!</v>
      </c>
      <c r="L35" t="e">
        <f t="shared" si="0"/>
        <v>#REF!</v>
      </c>
      <c r="M35" t="e">
        <f t="shared" si="1"/>
        <v>#REF!</v>
      </c>
      <c r="O35" s="64"/>
      <c r="P35" s="1" t="s">
        <v>19</v>
      </c>
      <c r="Q35" s="1" t="e">
        <f t="shared" si="50"/>
        <v>#REF!</v>
      </c>
      <c r="R35" s="1" t="e">
        <f t="shared" si="50"/>
        <v>#REF!</v>
      </c>
      <c r="S35" s="1" t="e">
        <f t="shared" si="50"/>
        <v>#REF!</v>
      </c>
      <c r="T35" s="1" t="e">
        <f t="shared" si="50"/>
        <v>#REF!</v>
      </c>
      <c r="U35" s="1" t="e">
        <f t="shared" si="50"/>
        <v>#REF!</v>
      </c>
      <c r="V35" s="1" t="e">
        <f t="shared" si="50"/>
        <v>#REF!</v>
      </c>
      <c r="W35" s="1" t="e">
        <f t="shared" si="50"/>
        <v>#REF!</v>
      </c>
      <c r="X35" s="1" t="e">
        <f t="shared" si="50"/>
        <v>#REF!</v>
      </c>
      <c r="Z35" t="e">
        <f t="shared" si="3"/>
        <v>#REF!</v>
      </c>
      <c r="AA35" t="e">
        <f t="shared" si="4"/>
        <v>#REF!</v>
      </c>
    </row>
    <row r="36" spans="1:27" x14ac:dyDescent="0.35">
      <c r="A36" s="54"/>
      <c r="B36" s="5" t="s">
        <v>34</v>
      </c>
      <c r="C36" s="5" t="e">
        <f t="shared" ref="C36:J36" si="51">SUM(C34:C35)</f>
        <v>#REF!</v>
      </c>
      <c r="D36" s="5" t="e">
        <f t="shared" si="51"/>
        <v>#REF!</v>
      </c>
      <c r="E36" s="5" t="e">
        <f t="shared" si="51"/>
        <v>#REF!</v>
      </c>
      <c r="F36" s="5" t="e">
        <f t="shared" si="51"/>
        <v>#REF!</v>
      </c>
      <c r="G36" s="5" t="e">
        <f t="shared" si="51"/>
        <v>#REF!</v>
      </c>
      <c r="H36" s="5" t="e">
        <f t="shared" si="51"/>
        <v>#REF!</v>
      </c>
      <c r="I36" s="5" t="e">
        <f t="shared" si="51"/>
        <v>#REF!</v>
      </c>
      <c r="J36" s="5" t="e">
        <f t="shared" si="51"/>
        <v>#REF!</v>
      </c>
      <c r="L36" t="e">
        <f t="shared" si="0"/>
        <v>#REF!</v>
      </c>
      <c r="M36" t="e">
        <f t="shared" si="1"/>
        <v>#REF!</v>
      </c>
      <c r="O36" s="65"/>
      <c r="P36" s="5" t="s">
        <v>34</v>
      </c>
      <c r="Q36" s="5" t="e">
        <f t="shared" ref="Q36:X36" si="52">SUM(Q34:Q35)</f>
        <v>#REF!</v>
      </c>
      <c r="R36" s="5" t="e">
        <f t="shared" si="52"/>
        <v>#REF!</v>
      </c>
      <c r="S36" s="5" t="e">
        <f t="shared" si="52"/>
        <v>#REF!</v>
      </c>
      <c r="T36" s="5" t="e">
        <f t="shared" si="52"/>
        <v>#REF!</v>
      </c>
      <c r="U36" s="5" t="e">
        <f t="shared" si="52"/>
        <v>#REF!</v>
      </c>
      <c r="V36" s="5" t="e">
        <f t="shared" si="52"/>
        <v>#REF!</v>
      </c>
      <c r="W36" s="5" t="e">
        <f t="shared" si="52"/>
        <v>#REF!</v>
      </c>
      <c r="X36" s="5" t="e">
        <f t="shared" si="52"/>
        <v>#REF!</v>
      </c>
      <c r="Z36" t="e">
        <f t="shared" si="3"/>
        <v>#REF!</v>
      </c>
      <c r="AA36" t="e">
        <f t="shared" si="4"/>
        <v>#REF!</v>
      </c>
    </row>
    <row r="37" spans="1:27" ht="15" customHeight="1" x14ac:dyDescent="0.35">
      <c r="A37" s="52" t="s">
        <v>43</v>
      </c>
      <c r="B37" s="57" t="s">
        <v>29</v>
      </c>
      <c r="C37" s="58"/>
      <c r="D37" s="58"/>
      <c r="E37" s="58"/>
      <c r="F37" s="58"/>
      <c r="G37" s="58"/>
      <c r="H37" s="58"/>
      <c r="I37" s="58"/>
      <c r="J37" s="59"/>
      <c r="O37" s="52" t="s">
        <v>37</v>
      </c>
      <c r="P37" s="57" t="s">
        <v>30</v>
      </c>
      <c r="Q37" s="58"/>
      <c r="R37" s="58"/>
      <c r="S37" s="58"/>
      <c r="T37" s="58"/>
      <c r="U37" s="58"/>
      <c r="V37" s="58"/>
      <c r="W37" s="58"/>
      <c r="X37" s="59"/>
    </row>
    <row r="38" spans="1:27" x14ac:dyDescent="0.35">
      <c r="A38" s="53"/>
      <c r="B38" s="60"/>
      <c r="C38" s="61"/>
      <c r="D38" s="61"/>
      <c r="E38" s="61"/>
      <c r="F38" s="61"/>
      <c r="G38" s="61"/>
      <c r="H38" s="61"/>
      <c r="I38" s="61"/>
      <c r="J38" s="62"/>
      <c r="O38" s="64"/>
      <c r="P38" s="60"/>
      <c r="Q38" s="61"/>
      <c r="R38" s="61"/>
      <c r="S38" s="61"/>
      <c r="T38" s="61"/>
      <c r="U38" s="61"/>
      <c r="V38" s="61"/>
      <c r="W38" s="61"/>
      <c r="X38" s="62"/>
    </row>
    <row r="39" spans="1:27" x14ac:dyDescent="0.35">
      <c r="A39" s="54"/>
      <c r="B39" s="6"/>
      <c r="C39" s="6"/>
      <c r="D39" s="6"/>
      <c r="E39" s="6"/>
      <c r="F39" s="6"/>
      <c r="G39" s="6"/>
      <c r="H39" s="6"/>
      <c r="I39" s="6"/>
      <c r="J39" s="6"/>
      <c r="O39" s="65"/>
      <c r="P39" s="6"/>
      <c r="Q39" s="6"/>
      <c r="R39" s="6"/>
      <c r="S39" s="6"/>
      <c r="T39" s="6"/>
      <c r="U39" s="6"/>
      <c r="V39" s="6"/>
      <c r="W39" s="6"/>
      <c r="X39" s="6"/>
    </row>
    <row r="40" spans="1:27" x14ac:dyDescent="0.35">
      <c r="A40" s="63" t="s">
        <v>95</v>
      </c>
      <c r="B40" s="7" t="s">
        <v>17</v>
      </c>
      <c r="C40" s="7">
        <v>0</v>
      </c>
      <c r="D40" s="7">
        <v>0</v>
      </c>
      <c r="E40" s="7">
        <v>0</v>
      </c>
      <c r="F40" s="7">
        <v>0</v>
      </c>
      <c r="G40" s="7">
        <v>0</v>
      </c>
      <c r="H40" s="7">
        <v>0</v>
      </c>
      <c r="I40" s="7">
        <v>0</v>
      </c>
      <c r="J40" s="7">
        <v>0</v>
      </c>
      <c r="L40">
        <f>SUM(C40:J40)</f>
        <v>0</v>
      </c>
      <c r="M40">
        <f t="shared" ref="M40:M60" si="53">SUM(G40:J40)</f>
        <v>0</v>
      </c>
      <c r="O40" s="52" t="str">
        <f>A40</f>
        <v>All Kinder</v>
      </c>
      <c r="P40" s="7" t="s">
        <v>17</v>
      </c>
      <c r="Q40" s="7">
        <f>C40</f>
        <v>0</v>
      </c>
      <c r="R40" s="7">
        <f t="shared" ref="R40:X40" si="54">D40</f>
        <v>0</v>
      </c>
      <c r="S40" s="7">
        <f t="shared" si="54"/>
        <v>0</v>
      </c>
      <c r="T40" s="7">
        <f t="shared" si="54"/>
        <v>0</v>
      </c>
      <c r="U40" s="7">
        <f t="shared" si="54"/>
        <v>0</v>
      </c>
      <c r="V40" s="7">
        <f t="shared" si="54"/>
        <v>0</v>
      </c>
      <c r="W40" s="7">
        <f t="shared" si="54"/>
        <v>0</v>
      </c>
      <c r="X40" s="7">
        <f t="shared" si="54"/>
        <v>0</v>
      </c>
      <c r="Z40">
        <f t="shared" ref="Z40:Z60" si="55">SUM(Q40:T40)</f>
        <v>0</v>
      </c>
      <c r="AA40">
        <f t="shared" ref="AA40:AA60" si="56">SUM(U40:X40)</f>
        <v>0</v>
      </c>
    </row>
    <row r="41" spans="1:27" x14ac:dyDescent="0.35">
      <c r="A41" s="53"/>
      <c r="B41" s="7" t="s">
        <v>19</v>
      </c>
      <c r="C41" s="7">
        <v>0</v>
      </c>
      <c r="D41" s="7">
        <v>0</v>
      </c>
      <c r="E41" s="7">
        <v>0</v>
      </c>
      <c r="F41" s="7">
        <v>0</v>
      </c>
      <c r="G41" s="7">
        <v>0</v>
      </c>
      <c r="H41" s="7">
        <v>0</v>
      </c>
      <c r="I41" s="7">
        <v>0</v>
      </c>
      <c r="J41" s="7">
        <v>0</v>
      </c>
      <c r="L41">
        <f t="shared" ref="L41:L60" si="57">SUM(C41:F41)</f>
        <v>0</v>
      </c>
      <c r="M41">
        <f t="shared" si="53"/>
        <v>0</v>
      </c>
      <c r="O41" s="55"/>
      <c r="P41" s="7" t="s">
        <v>19</v>
      </c>
      <c r="Q41" s="7">
        <f>C41</f>
        <v>0</v>
      </c>
      <c r="R41" s="7">
        <f t="shared" ref="R41" si="58">D41</f>
        <v>0</v>
      </c>
      <c r="S41" s="7">
        <f t="shared" ref="S41" si="59">E41</f>
        <v>0</v>
      </c>
      <c r="T41" s="7">
        <f t="shared" ref="T41" si="60">F41</f>
        <v>0</v>
      </c>
      <c r="U41" s="7">
        <f t="shared" ref="U41" si="61">G41</f>
        <v>0</v>
      </c>
      <c r="V41" s="7">
        <f t="shared" ref="V41" si="62">H41</f>
        <v>0</v>
      </c>
      <c r="W41" s="7">
        <f t="shared" ref="W41" si="63">I41</f>
        <v>0</v>
      </c>
      <c r="X41" s="7">
        <f t="shared" ref="X41" si="64">J41</f>
        <v>0</v>
      </c>
      <c r="Z41">
        <f t="shared" si="55"/>
        <v>0</v>
      </c>
      <c r="AA41">
        <f t="shared" si="56"/>
        <v>0</v>
      </c>
    </row>
    <row r="42" spans="1:27" x14ac:dyDescent="0.35">
      <c r="A42" s="54"/>
      <c r="B42" s="8" t="s">
        <v>34</v>
      </c>
      <c r="C42" s="8">
        <f t="shared" ref="C42:J42" si="65">SUM(C40:C41)</f>
        <v>0</v>
      </c>
      <c r="D42" s="8">
        <f t="shared" si="65"/>
        <v>0</v>
      </c>
      <c r="E42" s="8">
        <f t="shared" si="65"/>
        <v>0</v>
      </c>
      <c r="F42" s="8">
        <f t="shared" si="65"/>
        <v>0</v>
      </c>
      <c r="G42" s="8">
        <f t="shared" si="65"/>
        <v>0</v>
      </c>
      <c r="H42" s="8">
        <f t="shared" si="65"/>
        <v>0</v>
      </c>
      <c r="I42" s="8">
        <f t="shared" si="65"/>
        <v>0</v>
      </c>
      <c r="J42" s="8">
        <f t="shared" si="65"/>
        <v>0</v>
      </c>
      <c r="L42">
        <f t="shared" si="57"/>
        <v>0</v>
      </c>
      <c r="M42">
        <f t="shared" si="53"/>
        <v>0</v>
      </c>
      <c r="O42" s="56"/>
      <c r="P42" s="8" t="s">
        <v>34</v>
      </c>
      <c r="Q42" s="8">
        <f t="shared" ref="Q42:X42" si="66">SUM(Q40:Q41)</f>
        <v>0</v>
      </c>
      <c r="R42" s="8">
        <f t="shared" si="66"/>
        <v>0</v>
      </c>
      <c r="S42" s="8">
        <f t="shared" si="66"/>
        <v>0</v>
      </c>
      <c r="T42" s="8">
        <f t="shared" si="66"/>
        <v>0</v>
      </c>
      <c r="U42" s="8">
        <f t="shared" si="66"/>
        <v>0</v>
      </c>
      <c r="V42" s="8">
        <f t="shared" si="66"/>
        <v>0</v>
      </c>
      <c r="W42" s="8">
        <f t="shared" si="66"/>
        <v>0</v>
      </c>
      <c r="X42" s="8">
        <f t="shared" si="66"/>
        <v>0</v>
      </c>
      <c r="Z42">
        <f t="shared" si="55"/>
        <v>0</v>
      </c>
      <c r="AA42">
        <f t="shared" si="56"/>
        <v>0</v>
      </c>
    </row>
    <row r="43" spans="1:27" x14ac:dyDescent="0.35">
      <c r="A43" s="52" t="s">
        <v>47</v>
      </c>
      <c r="B43" s="7" t="s">
        <v>17</v>
      </c>
      <c r="C43" s="7">
        <v>0</v>
      </c>
      <c r="D43" s="7">
        <v>0</v>
      </c>
      <c r="E43" s="7" t="e">
        <f>COUNTIFS(#REF!, "m",#REF!, "&lt;&gt;*k*",#REF!, "*normal*",#REF!,  "stunted")
+COUNTIFS(#REF!, "m",#REF!, "&lt;&gt;*k*",#REF!, "*normal*",#REF!,  "severely stunted")</f>
        <v>#REF!</v>
      </c>
      <c r="F43" s="7" t="e">
        <f>COUNTIFS(#REF!, "m",#REF!, "&lt;&gt;*k*",#REF!, "overweight",#REF!,  "stunted")
+COUNTIFS(#REF!, "m",#REF!, "&lt;&gt;*k*",#REF!, "overweight",#REF!,  "severely stunted")</f>
        <v>#REF!</v>
      </c>
      <c r="G43" s="7" t="e">
        <f>COUNTIFS(#REF!, "m",#REF!, "&lt;&gt;*k*",#REF!, "severely stunted",#REF!, "*normal*")
+COUNTIFS(#REF!, "m",#REF!, "&lt;&gt;*k*",#REF!, "severely stunted",#REF!,  "overweight")</f>
        <v>#REF!</v>
      </c>
      <c r="H43" s="7" t="e">
        <f>COUNTIFS(#REF!, "m",#REF!, "&lt;&gt;*k*",#REF!, "stunted",#REF!, "*normal*")
+COUNTIFS(#REF!, "m",#REF!, "&lt;&gt;*k*",#REF!, "stunted",#REF!,  "overweight")</f>
        <v>#REF!</v>
      </c>
      <c r="I43" s="7">
        <v>0</v>
      </c>
      <c r="J43" s="7">
        <v>0</v>
      </c>
      <c r="L43" t="e">
        <f t="shared" si="57"/>
        <v>#REF!</v>
      </c>
      <c r="M43" t="e">
        <f t="shared" si="53"/>
        <v>#REF!</v>
      </c>
      <c r="O43" s="52" t="s">
        <v>97</v>
      </c>
      <c r="P43" s="7" t="s">
        <v>17</v>
      </c>
      <c r="Q43" s="7">
        <f>C43</f>
        <v>0</v>
      </c>
      <c r="R43" s="7">
        <f t="shared" ref="R43:X43" si="67">D43</f>
        <v>0</v>
      </c>
      <c r="S43" s="7" t="e">
        <f t="shared" si="67"/>
        <v>#REF!</v>
      </c>
      <c r="T43" s="7" t="e">
        <f t="shared" si="67"/>
        <v>#REF!</v>
      </c>
      <c r="U43" s="7" t="e">
        <f t="shared" si="67"/>
        <v>#REF!</v>
      </c>
      <c r="V43" s="7" t="e">
        <f t="shared" si="67"/>
        <v>#REF!</v>
      </c>
      <c r="W43" s="7">
        <f t="shared" si="67"/>
        <v>0</v>
      </c>
      <c r="X43" s="7">
        <f t="shared" si="67"/>
        <v>0</v>
      </c>
      <c r="Z43" t="e">
        <f t="shared" si="55"/>
        <v>#REF!</v>
      </c>
      <c r="AA43" t="e">
        <f t="shared" si="56"/>
        <v>#REF!</v>
      </c>
    </row>
    <row r="44" spans="1:27" x14ac:dyDescent="0.35">
      <c r="A44" s="53"/>
      <c r="B44" s="7" t="s">
        <v>19</v>
      </c>
      <c r="C44" s="7">
        <v>0</v>
      </c>
      <c r="D44" s="7">
        <v>0</v>
      </c>
      <c r="E44" s="7" t="e">
        <f>COUNTIFS(#REF!, "f",#REF!, "&lt;&gt;*k*",#REF!, "*normal*",#REF!,  "stunted")
+COUNTIFS(#REF!, "f",#REF!, "&lt;&gt;*k*",#REF!, "*normal*",#REF!,  "severely stunted")</f>
        <v>#REF!</v>
      </c>
      <c r="F44" s="7" t="e">
        <f>COUNTIFS(#REF!, "f",#REF!, "&lt;&gt;*k*",#REF!, "overweight",#REF!,  "stunted")
+COUNTIFS(#REF!, "f",#REF!, "&lt;&gt;*k*",#REF!, "overweight",#REF!,  "severely stunted")</f>
        <v>#REF!</v>
      </c>
      <c r="G44" s="7" t="e">
        <f>COUNTIFS(#REF!, "f",#REF!, "&lt;&gt;*k*",#REF!, "severely stunted",#REF!, "*normal*")
+COUNTIFS(#REF!, "f",#REF!, "&lt;&gt;*k*",#REF!, "severely stunted",#REF!,  "overweight")</f>
        <v>#REF!</v>
      </c>
      <c r="H44" s="7" t="e">
        <f>COUNTIFS(#REF!, "f",#REF!, "&lt;&gt;*k*",#REF!, "stunted",#REF!, "*normal*")
+COUNTIFS(#REF!, "f",#REF!, "&lt;&gt;*k*",#REF!, "stunted",#REF!,  "overweight")</f>
        <v>#REF!</v>
      </c>
      <c r="I44" s="7">
        <v>0</v>
      </c>
      <c r="J44" s="7">
        <v>0</v>
      </c>
      <c r="L44" t="e">
        <f t="shared" si="57"/>
        <v>#REF!</v>
      </c>
      <c r="M44" t="e">
        <f t="shared" si="53"/>
        <v>#REF!</v>
      </c>
      <c r="O44" s="55"/>
      <c r="P44" s="7" t="s">
        <v>19</v>
      </c>
      <c r="Q44" s="7">
        <f>C44</f>
        <v>0</v>
      </c>
      <c r="R44" s="7">
        <f t="shared" ref="R44" si="68">D44</f>
        <v>0</v>
      </c>
      <c r="S44" s="7" t="e">
        <f t="shared" ref="S44" si="69">E44</f>
        <v>#REF!</v>
      </c>
      <c r="T44" s="7" t="e">
        <f t="shared" ref="T44" si="70">F44</f>
        <v>#REF!</v>
      </c>
      <c r="U44" s="7" t="e">
        <f t="shared" ref="U44" si="71">G44</f>
        <v>#REF!</v>
      </c>
      <c r="V44" s="7" t="e">
        <f t="shared" ref="V44" si="72">H44</f>
        <v>#REF!</v>
      </c>
      <c r="W44" s="7">
        <f t="shared" ref="W44" si="73">I44</f>
        <v>0</v>
      </c>
      <c r="X44" s="7">
        <f t="shared" ref="X44" si="74">J44</f>
        <v>0</v>
      </c>
      <c r="Z44" t="e">
        <f t="shared" si="55"/>
        <v>#REF!</v>
      </c>
      <c r="AA44" t="e">
        <f t="shared" si="56"/>
        <v>#REF!</v>
      </c>
    </row>
    <row r="45" spans="1:27" x14ac:dyDescent="0.35">
      <c r="A45" s="54"/>
      <c r="B45" s="8" t="s">
        <v>34</v>
      </c>
      <c r="C45" s="8">
        <f t="shared" ref="C45:J45" si="75">SUM(C43:C44)</f>
        <v>0</v>
      </c>
      <c r="D45" s="8">
        <f t="shared" si="75"/>
        <v>0</v>
      </c>
      <c r="E45" s="8" t="e">
        <f t="shared" si="75"/>
        <v>#REF!</v>
      </c>
      <c r="F45" s="8" t="e">
        <f t="shared" si="75"/>
        <v>#REF!</v>
      </c>
      <c r="G45" s="8" t="e">
        <f t="shared" si="75"/>
        <v>#REF!</v>
      </c>
      <c r="H45" s="8" t="e">
        <f t="shared" si="75"/>
        <v>#REF!</v>
      </c>
      <c r="I45" s="8">
        <f t="shared" si="75"/>
        <v>0</v>
      </c>
      <c r="J45" s="8">
        <f t="shared" si="75"/>
        <v>0</v>
      </c>
      <c r="L45" t="e">
        <f t="shared" si="57"/>
        <v>#REF!</v>
      </c>
      <c r="M45" t="e">
        <f t="shared" si="53"/>
        <v>#REF!</v>
      </c>
      <c r="O45" s="56"/>
      <c r="P45" s="8" t="s">
        <v>34</v>
      </c>
      <c r="Q45" s="8">
        <f t="shared" ref="Q45:X45" si="76">SUM(Q43:Q44)</f>
        <v>0</v>
      </c>
      <c r="R45" s="8">
        <f t="shared" si="76"/>
        <v>0</v>
      </c>
      <c r="S45" s="8" t="e">
        <f t="shared" si="76"/>
        <v>#REF!</v>
      </c>
      <c r="T45" s="8" t="e">
        <f t="shared" si="76"/>
        <v>#REF!</v>
      </c>
      <c r="U45" s="8" t="e">
        <f t="shared" si="76"/>
        <v>#REF!</v>
      </c>
      <c r="V45" s="8" t="e">
        <f t="shared" si="76"/>
        <v>#REF!</v>
      </c>
      <c r="W45" s="8">
        <f t="shared" si="76"/>
        <v>0</v>
      </c>
      <c r="X45" s="8">
        <f t="shared" si="76"/>
        <v>0</v>
      </c>
      <c r="Z45" t="e">
        <f t="shared" si="55"/>
        <v>#REF!</v>
      </c>
      <c r="AA45" t="e">
        <f t="shared" si="56"/>
        <v>#REF!</v>
      </c>
    </row>
    <row r="46" spans="1:27" x14ac:dyDescent="0.35">
      <c r="A46" s="66" t="s">
        <v>38</v>
      </c>
      <c r="B46" s="7" t="s">
        <v>17</v>
      </c>
      <c r="C46" s="7">
        <v>0</v>
      </c>
      <c r="D46" s="7">
        <v>0</v>
      </c>
      <c r="E46" s="7">
        <v>0</v>
      </c>
      <c r="F46" s="7">
        <v>0</v>
      </c>
      <c r="G46" s="7">
        <v>0</v>
      </c>
      <c r="H46" s="7">
        <v>0</v>
      </c>
      <c r="I46" s="7">
        <v>0</v>
      </c>
      <c r="J46" s="7">
        <v>0</v>
      </c>
      <c r="L46">
        <f>SUM(C46:J46)</f>
        <v>0</v>
      </c>
      <c r="M46">
        <f t="shared" si="53"/>
        <v>0</v>
      </c>
      <c r="O46" s="52" t="s">
        <v>38</v>
      </c>
      <c r="P46" s="7" t="s">
        <v>17</v>
      </c>
      <c r="Q46" s="7">
        <f>C46</f>
        <v>0</v>
      </c>
      <c r="R46" s="7">
        <f t="shared" ref="R46:X46" si="77">D46</f>
        <v>0</v>
      </c>
      <c r="S46" s="7">
        <f t="shared" si="77"/>
        <v>0</v>
      </c>
      <c r="T46" s="7">
        <f t="shared" si="77"/>
        <v>0</v>
      </c>
      <c r="U46" s="7">
        <f t="shared" si="77"/>
        <v>0</v>
      </c>
      <c r="V46" s="7">
        <f t="shared" si="77"/>
        <v>0</v>
      </c>
      <c r="W46" s="7">
        <f t="shared" si="77"/>
        <v>0</v>
      </c>
      <c r="X46" s="7">
        <f t="shared" si="77"/>
        <v>0</v>
      </c>
      <c r="Z46">
        <f t="shared" si="55"/>
        <v>0</v>
      </c>
      <c r="AA46">
        <f t="shared" si="56"/>
        <v>0</v>
      </c>
    </row>
    <row r="47" spans="1:27" x14ac:dyDescent="0.35">
      <c r="A47" s="53"/>
      <c r="B47" s="7" t="s">
        <v>19</v>
      </c>
      <c r="C47" s="7">
        <v>0</v>
      </c>
      <c r="D47" s="7">
        <v>0</v>
      </c>
      <c r="E47" s="7">
        <v>0</v>
      </c>
      <c r="F47" s="7">
        <v>0</v>
      </c>
      <c r="G47" s="7">
        <v>0</v>
      </c>
      <c r="H47" s="7">
        <v>0</v>
      </c>
      <c r="I47" s="7">
        <v>0</v>
      </c>
      <c r="J47" s="7">
        <v>0</v>
      </c>
      <c r="L47">
        <f>SUM(C47:J47)</f>
        <v>0</v>
      </c>
      <c r="M47">
        <f t="shared" si="53"/>
        <v>0</v>
      </c>
      <c r="O47" s="55"/>
      <c r="P47" s="7" t="s">
        <v>19</v>
      </c>
      <c r="Q47" s="7">
        <f>C47</f>
        <v>0</v>
      </c>
      <c r="R47" s="7">
        <f t="shared" ref="R47" si="78">D47</f>
        <v>0</v>
      </c>
      <c r="S47" s="7">
        <f t="shared" ref="S47" si="79">E47</f>
        <v>0</v>
      </c>
      <c r="T47" s="7">
        <f t="shared" ref="T47" si="80">F47</f>
        <v>0</v>
      </c>
      <c r="U47" s="7">
        <f t="shared" ref="U47" si="81">G47</f>
        <v>0</v>
      </c>
      <c r="V47" s="7">
        <f t="shared" ref="V47" si="82">H47</f>
        <v>0</v>
      </c>
      <c r="W47" s="7">
        <f t="shared" ref="W47" si="83">I47</f>
        <v>0</v>
      </c>
      <c r="X47" s="7">
        <f t="shared" ref="X47" si="84">J47</f>
        <v>0</v>
      </c>
      <c r="Z47">
        <f t="shared" si="55"/>
        <v>0</v>
      </c>
      <c r="AA47">
        <f t="shared" si="56"/>
        <v>0</v>
      </c>
    </row>
    <row r="48" spans="1:27" x14ac:dyDescent="0.35">
      <c r="A48" s="54"/>
      <c r="B48" s="8" t="s">
        <v>34</v>
      </c>
      <c r="C48" s="8">
        <f t="shared" ref="C48:J48" si="85">SUM(C46:C47)</f>
        <v>0</v>
      </c>
      <c r="D48" s="8">
        <f t="shared" si="85"/>
        <v>0</v>
      </c>
      <c r="E48" s="8">
        <f t="shared" si="85"/>
        <v>0</v>
      </c>
      <c r="F48" s="8">
        <f t="shared" si="85"/>
        <v>0</v>
      </c>
      <c r="G48" s="8">
        <f t="shared" si="85"/>
        <v>0</v>
      </c>
      <c r="H48" s="8">
        <f t="shared" si="85"/>
        <v>0</v>
      </c>
      <c r="I48" s="8">
        <f t="shared" si="85"/>
        <v>0</v>
      </c>
      <c r="J48" s="8">
        <f t="shared" si="85"/>
        <v>0</v>
      </c>
      <c r="L48">
        <f t="shared" si="57"/>
        <v>0</v>
      </c>
      <c r="M48">
        <f t="shared" si="53"/>
        <v>0</v>
      </c>
      <c r="O48" s="56"/>
      <c r="P48" s="8" t="s">
        <v>34</v>
      </c>
      <c r="Q48" s="8">
        <f t="shared" ref="Q48:X48" si="86">SUM(Q46:Q47)</f>
        <v>0</v>
      </c>
      <c r="R48" s="8">
        <f t="shared" si="86"/>
        <v>0</v>
      </c>
      <c r="S48" s="8">
        <f t="shared" si="86"/>
        <v>0</v>
      </c>
      <c r="T48" s="8">
        <f t="shared" si="86"/>
        <v>0</v>
      </c>
      <c r="U48" s="8">
        <f t="shared" si="86"/>
        <v>0</v>
      </c>
      <c r="V48" s="8">
        <f t="shared" si="86"/>
        <v>0</v>
      </c>
      <c r="W48" s="8">
        <f t="shared" si="86"/>
        <v>0</v>
      </c>
      <c r="X48" s="8">
        <f t="shared" si="86"/>
        <v>0</v>
      </c>
      <c r="Z48">
        <f t="shared" si="55"/>
        <v>0</v>
      </c>
      <c r="AA48">
        <f t="shared" si="56"/>
        <v>0</v>
      </c>
    </row>
    <row r="49" spans="1:27" x14ac:dyDescent="0.35">
      <c r="A49" s="52" t="s">
        <v>46</v>
      </c>
      <c r="B49" s="7" t="s">
        <v>17</v>
      </c>
      <c r="C49" s="7">
        <v>0</v>
      </c>
      <c r="D49" s="7">
        <v>0</v>
      </c>
      <c r="E49" s="7" t="e">
        <f>COUNTIFS(#REF!, "m",#REF!, "&lt;&gt;*k*",#REF!, "*normal*",#REF!, "*normal*",#REF!, "yes",#REF!, "no")
+COUNTIFS(#REF!, "m",#REF!, "&lt;&gt;*k*",#REF!, "*normal*",#REF!,  "tall",#REF!, "yes",#REF!, "no")
+COUNTIFS(#REF!, "m",#REF!, "&lt;&gt;*k*",#REF!, "*normal*",#REF!, "*normal*",#REF!, "yes",#REF!, "yes")
+COUNTIFS(#REF!, "m",#REF!, "&lt;&gt;*k*",#REF!, "*normal*",#REF!,  "tall",#REF!, "yes",#REF!, "yes")</f>
        <v>#REF!</v>
      </c>
      <c r="F49" s="7" t="e">
        <f>COUNTIFS(#REF!, "m",#REF!, "&lt;&gt;*k*",#REF!, "*overweight*",#REF!, "*normal*",#REF!, "yes",#REF!, "no")
+COUNTIFS(#REF!, "m",#REF!, "&lt;&gt;*k*",#REF!, "*overweight*",#REF!,  "tall",#REF!, "yes",#REF!, "no")
+COUNTIFS(#REF!, "m",#REF!, "&lt;&gt;*k*",#REF!, "*overweight*",#REF!, "*normal*",#REF!, "yes",#REF!, "yes")
+COUNTIFS(#REF!, "m",#REF!, "&lt;&gt;*k*",#REF!, "*overweight*",#REF!,  "tall",#REF!, "yes",#REF!, "yes")</f>
        <v>#REF!</v>
      </c>
      <c r="G49" s="7">
        <v>0</v>
      </c>
      <c r="H49" s="7">
        <v>0</v>
      </c>
      <c r="I49" s="7" t="e">
        <f>COUNTIFS(#REF!, "m",#REF!, "&lt;&gt;*k*",#REF!, "*normal*",#REF!, "*normal*",#REF!, "yes",#REF!, "no")
+COUNTIFS(#REF!, "m",#REF!, "&lt;&gt;*k*",#REF!, "*normal*",#REF!,  "overweight",#REF!, "yes",#REF!, "no")
+COUNTIFS(#REF!, "m",#REF!, "&lt;&gt;*k*",#REF!, "*normal*",#REF!, "*normal*",#REF!, "yes",#REF!, "yes")
+COUNTIFS(#REF!, "m",#REF!, "&lt;&gt;*k*",#REF!, "*normal*",#REF!,  "overweight",#REF!, "yes",#REF!, "yes")</f>
        <v>#REF!</v>
      </c>
      <c r="J49" s="7" t="e">
        <f>COUNTIFS(#REF!, "m",#REF!, "&lt;&gt;*k*",#REF!, "*tall*",#REF!, "*normal*",#REF!, "yes",#REF!, "no")
+COUNTIFS(#REF!, "m",#REF!, "&lt;&gt;*k*",#REF!, "*tall*",#REF!,  "overweigth",#REF!, "yes",#REF!, "no")
+COUNTIFS(#REF!, "m",#REF!, "&lt;&gt;*k*",#REF!, "*tall*",#REF!, "*normal*",#REF!, "yes",#REF!, "yes")
+COUNTIFS(#REF!, "m",#REF!, "&lt;&gt;*k*",#REF!, "*tall*",#REF!,  "overweigth",#REF!, "yes",#REF!, "yes")</f>
        <v>#REF!</v>
      </c>
      <c r="L49" t="e">
        <f t="shared" si="57"/>
        <v>#REF!</v>
      </c>
      <c r="M49" t="e">
        <f t="shared" si="53"/>
        <v>#REF!</v>
      </c>
      <c r="O49" s="52" t="s">
        <v>39</v>
      </c>
      <c r="P49" s="7" t="s">
        <v>17</v>
      </c>
      <c r="Q49" s="7">
        <f>C49</f>
        <v>0</v>
      </c>
      <c r="R49" s="7">
        <f t="shared" ref="R49:X49" si="87">D49</f>
        <v>0</v>
      </c>
      <c r="S49" s="7" t="e">
        <f t="shared" si="87"/>
        <v>#REF!</v>
      </c>
      <c r="T49" s="7" t="e">
        <f t="shared" si="87"/>
        <v>#REF!</v>
      </c>
      <c r="U49" s="7">
        <f t="shared" si="87"/>
        <v>0</v>
      </c>
      <c r="V49" s="7">
        <f t="shared" si="87"/>
        <v>0</v>
      </c>
      <c r="W49" s="7" t="e">
        <f t="shared" si="87"/>
        <v>#REF!</v>
      </c>
      <c r="X49" s="7" t="e">
        <f t="shared" si="87"/>
        <v>#REF!</v>
      </c>
      <c r="Z49" t="e">
        <f t="shared" si="55"/>
        <v>#REF!</v>
      </c>
      <c r="AA49" t="e">
        <f t="shared" si="56"/>
        <v>#REF!</v>
      </c>
    </row>
    <row r="50" spans="1:27" x14ac:dyDescent="0.35">
      <c r="A50" s="53"/>
      <c r="B50" s="7" t="s">
        <v>19</v>
      </c>
      <c r="C50" s="7">
        <v>0</v>
      </c>
      <c r="D50" s="7">
        <v>0</v>
      </c>
      <c r="E50" s="7" t="e">
        <f>COUNTIFS(#REF!, "f",#REF!, "&lt;&gt;*k*",#REF!, "*normal*",#REF!, "*normal*",#REF!, "yes",#REF!, "no")
+COUNTIFS(#REF!, "f",#REF!, "&lt;&gt;*k*",#REF!, "*normal*",#REF!,  "tall",#REF!, "yes",#REF!, "no")
+COUNTIFS(#REF!, "f",#REF!, "&lt;&gt;*k*",#REF!, "*normal*",#REF!, "*normal*",#REF!, "yes",#REF!, "yes")
+COUNTIFS(#REF!, "f",#REF!, "&lt;&gt;*k*",#REF!, "*normal*",#REF!,  "tall",#REF!, "yes",#REF!, "yes")</f>
        <v>#REF!</v>
      </c>
      <c r="F50" s="7" t="e">
        <f>COUNTIFS(#REF!, "f",#REF!, "&lt;&gt;*k*",#REF!, "*overweight*",#REF!, "*normal*",#REF!, "yes",#REF!, "no")
+COUNTIFS(#REF!, "f",#REF!, "&lt;&gt;*k*",#REF!, "*overweight*",#REF!,  "tall",#REF!, "yes",#REF!, "no")
+COUNTIFS(#REF!, "f",#REF!, "&lt;&gt;*k*",#REF!, "*overweight*",#REF!, "*normal*",#REF!, "yes",#REF!, "yes")
+COUNTIFS(#REF!, "f",#REF!, "&lt;&gt;*k*",#REF!, "*overweight*",#REF!,  "tall",#REF!, "yes",#REF!, "yes")</f>
        <v>#REF!</v>
      </c>
      <c r="G50" s="7">
        <v>0</v>
      </c>
      <c r="H50" s="7">
        <v>0</v>
      </c>
      <c r="I50" s="7" t="e">
        <f>COUNTIFS(#REF!, "f",#REF!, "&lt;&gt;*k*",#REF!, "*normal*",#REF!, "*normal*",#REF!, "yes",#REF!, "no")
+COUNTIFS(#REF!, "f",#REF!, "&lt;&gt;*k*",#REF!, "*normal*",#REF!,  "overweight",#REF!, "yes",#REF!, "no")
+COUNTIFS(#REF!, "f",#REF!, "&lt;&gt;*k*",#REF!, "*normal*",#REF!, "*normal*",#REF!, "yes",#REF!, "yes")
+COUNTIFS(#REF!, "f",#REF!, "&lt;&gt;*k*",#REF!, "*normal*",#REF!,  "overweight",#REF!, "yes",#REF!, "yes")</f>
        <v>#REF!</v>
      </c>
      <c r="J50" s="7" t="e">
        <f>COUNTIFS(#REF!, "f",#REF!, "&lt;&gt;*k*",#REF!, "*tall*",#REF!, "*normal*",#REF!, "yes",#REF!, "no")
+COUNTIFS(#REF!, "f",#REF!, "&lt;&gt;*k*",#REF!, "*tall*",#REF!,  "overweigth",#REF!, "yes",#REF!, "no")
+COUNTIFS(#REF!, "f",#REF!, "&lt;&gt;*k*",#REF!, "*tall*",#REF!, "*normal*",#REF!, "yes",#REF!, "yes")
+COUNTIFS(#REF!, "f",#REF!, "&lt;&gt;*k*",#REF!, "*tall*",#REF!,  "overweigth",#REF!, "yes",#REF!, "yes")</f>
        <v>#REF!</v>
      </c>
      <c r="L50" t="e">
        <f t="shared" si="57"/>
        <v>#REF!</v>
      </c>
      <c r="M50" t="e">
        <f t="shared" si="53"/>
        <v>#REF!</v>
      </c>
      <c r="O50" s="55"/>
      <c r="P50" s="7" t="s">
        <v>19</v>
      </c>
      <c r="Q50" s="7">
        <f>C50</f>
        <v>0</v>
      </c>
      <c r="R50" s="7">
        <f t="shared" ref="R50" si="88">D50</f>
        <v>0</v>
      </c>
      <c r="S50" s="7" t="e">
        <f t="shared" ref="S50" si="89">E50</f>
        <v>#REF!</v>
      </c>
      <c r="T50" s="7" t="e">
        <f t="shared" ref="T50" si="90">F50</f>
        <v>#REF!</v>
      </c>
      <c r="U50" s="7">
        <f t="shared" ref="U50" si="91">G50</f>
        <v>0</v>
      </c>
      <c r="V50" s="7">
        <f t="shared" ref="V50" si="92">H50</f>
        <v>0</v>
      </c>
      <c r="W50" s="7" t="e">
        <f t="shared" ref="W50" si="93">I50</f>
        <v>#REF!</v>
      </c>
      <c r="X50" s="7" t="e">
        <f t="shared" ref="X50" si="94">J50</f>
        <v>#REF!</v>
      </c>
      <c r="Z50" t="e">
        <f t="shared" si="55"/>
        <v>#REF!</v>
      </c>
      <c r="AA50" t="e">
        <f t="shared" si="56"/>
        <v>#REF!</v>
      </c>
    </row>
    <row r="51" spans="1:27" x14ac:dyDescent="0.35">
      <c r="A51" s="54"/>
      <c r="B51" s="8" t="s">
        <v>34</v>
      </c>
      <c r="C51" s="8">
        <f t="shared" ref="C51:J51" si="95">SUM(C49:C50)</f>
        <v>0</v>
      </c>
      <c r="D51" s="8">
        <f t="shared" si="95"/>
        <v>0</v>
      </c>
      <c r="E51" s="8" t="e">
        <f t="shared" si="95"/>
        <v>#REF!</v>
      </c>
      <c r="F51" s="8" t="e">
        <f t="shared" si="95"/>
        <v>#REF!</v>
      </c>
      <c r="G51" s="8">
        <f t="shared" si="95"/>
        <v>0</v>
      </c>
      <c r="H51" s="8">
        <f t="shared" si="95"/>
        <v>0</v>
      </c>
      <c r="I51" s="8" t="e">
        <f t="shared" si="95"/>
        <v>#REF!</v>
      </c>
      <c r="J51" s="8" t="e">
        <f t="shared" si="95"/>
        <v>#REF!</v>
      </c>
      <c r="L51" t="e">
        <f t="shared" si="57"/>
        <v>#REF!</v>
      </c>
      <c r="M51" t="e">
        <f t="shared" si="53"/>
        <v>#REF!</v>
      </c>
      <c r="O51" s="56"/>
      <c r="P51" s="8" t="s">
        <v>34</v>
      </c>
      <c r="Q51" s="8">
        <f t="shared" ref="Q51:X51" si="96">SUM(Q49:Q50)</f>
        <v>0</v>
      </c>
      <c r="R51" s="8">
        <f t="shared" si="96"/>
        <v>0</v>
      </c>
      <c r="S51" s="8" t="e">
        <f t="shared" si="96"/>
        <v>#REF!</v>
      </c>
      <c r="T51" s="8" t="e">
        <f t="shared" si="96"/>
        <v>#REF!</v>
      </c>
      <c r="U51" s="8">
        <f t="shared" si="96"/>
        <v>0</v>
      </c>
      <c r="V51" s="8">
        <f t="shared" si="96"/>
        <v>0</v>
      </c>
      <c r="W51" s="8" t="e">
        <f t="shared" si="96"/>
        <v>#REF!</v>
      </c>
      <c r="X51" s="8" t="e">
        <f t="shared" si="96"/>
        <v>#REF!</v>
      </c>
      <c r="Z51" t="e">
        <f t="shared" si="55"/>
        <v>#REF!</v>
      </c>
      <c r="AA51" t="e">
        <f t="shared" si="56"/>
        <v>#REF!</v>
      </c>
    </row>
    <row r="52" spans="1:27" x14ac:dyDescent="0.35">
      <c r="A52" s="52" t="s">
        <v>45</v>
      </c>
      <c r="B52" s="7" t="s">
        <v>17</v>
      </c>
      <c r="C52" s="7">
        <v>0</v>
      </c>
      <c r="D52" s="7">
        <v>0</v>
      </c>
      <c r="E52" s="7" t="e">
        <f>COUNTIFS(#REF!, "m",#REF!, "&lt;&gt;*k*",#REF!, "*normal*",#REF!, "*normal*",#REF!, "no",#REF!, "yes")
+COUNTIFS(#REF!, "m",#REF!, "&lt;&gt;*k*",#REF!, "*normal*",#REF!,  "tall",#REF!, "no",#REF!, "yes")</f>
        <v>#REF!</v>
      </c>
      <c r="F52" s="7" t="e">
        <f>COUNTIFS(#REF!, "m",#REF!, "&lt;&gt;*k*",#REF!, "*overweight*",#REF!, "*normal*",#REF!, "no",#REF!, "yes")
+COUNTIFS(#REF!, "m",#REF!, "&lt;&gt;*k*",#REF!, "*overweight*",#REF!,  "tall",#REF!, "no",#REF!, "yes")</f>
        <v>#REF!</v>
      </c>
      <c r="G52" s="7">
        <v>0</v>
      </c>
      <c r="H52" s="7">
        <v>0</v>
      </c>
      <c r="I52" s="7" t="e">
        <f>COUNTIFS(#REF!, "m",#REF!, "&lt;&gt;*k*",#REF!, "*normal*",#REF!, "*normal*",#REF!, "no",#REF!, "yes")
+COUNTIFS(#REF!, "m",#REF!, "&lt;&gt;*k*",#REF!, "*normal*",#REF!,  "*overweight*",#REF!, "no",#REF!, "yes")</f>
        <v>#REF!</v>
      </c>
      <c r="J52" s="7" t="e">
        <f>COUNTIFS(#REF!, "m",#REF!, "&lt;&gt;*k*",#REF!, "*tall*",#REF!, "*normal*",#REF!, "no",#REF!, "yes")
+COUNTIFS(#REF!, "m",#REF!, "&lt;&gt;*k*",#REF!, "*tall*",#REF!,  "overweigth",#REF!, "no",#REF!, "yes")</f>
        <v>#REF!</v>
      </c>
      <c r="L52" t="e">
        <f>SUM(C52:J52)</f>
        <v>#REF!</v>
      </c>
      <c r="M52" t="e">
        <f t="shared" si="53"/>
        <v>#REF!</v>
      </c>
      <c r="O52" s="52" t="s">
        <v>40</v>
      </c>
      <c r="P52" s="7" t="s">
        <v>17</v>
      </c>
      <c r="Q52" s="7">
        <f>C52</f>
        <v>0</v>
      </c>
      <c r="R52" s="7">
        <f t="shared" ref="R52:X52" si="97">D52</f>
        <v>0</v>
      </c>
      <c r="S52" s="7" t="e">
        <f t="shared" si="97"/>
        <v>#REF!</v>
      </c>
      <c r="T52" s="7" t="e">
        <f t="shared" si="97"/>
        <v>#REF!</v>
      </c>
      <c r="U52" s="7">
        <f t="shared" si="97"/>
        <v>0</v>
      </c>
      <c r="V52" s="7">
        <f t="shared" si="97"/>
        <v>0</v>
      </c>
      <c r="W52" s="7" t="e">
        <f t="shared" si="97"/>
        <v>#REF!</v>
      </c>
      <c r="X52" s="7" t="e">
        <f t="shared" si="97"/>
        <v>#REF!</v>
      </c>
      <c r="Z52" t="e">
        <f t="shared" si="55"/>
        <v>#REF!</v>
      </c>
      <c r="AA52" t="e">
        <f t="shared" si="56"/>
        <v>#REF!</v>
      </c>
    </row>
    <row r="53" spans="1:27" x14ac:dyDescent="0.35">
      <c r="A53" s="53"/>
      <c r="B53" s="7" t="s">
        <v>19</v>
      </c>
      <c r="C53" s="7">
        <v>0</v>
      </c>
      <c r="D53" s="7">
        <v>0</v>
      </c>
      <c r="E53" s="7" t="e">
        <f>COUNTIFS(#REF!, "f",#REF!, "&lt;&gt;*k*",#REF!, "*normal*",#REF!, "*normal*",#REF!, "no",#REF!, "yes")
+COUNTIFS(#REF!, "f",#REF!, "&lt;&gt;*k*",#REF!, "*normal*",#REF!,  "tall",#REF!, "no",#REF!, "yes")</f>
        <v>#REF!</v>
      </c>
      <c r="F53" s="7" t="e">
        <f>COUNTIFS(#REF!, "f",#REF!, "&lt;&gt;*k*",#REF!, "*overweight*",#REF!, "*normal*",#REF!, "no",#REF!, "yes")
+COUNTIFS(#REF!, "f",#REF!, "&lt;&gt;*k*",#REF!, "*overweight*",#REF!,  "tall",#REF!, "no",#REF!, "yes")</f>
        <v>#REF!</v>
      </c>
      <c r="G53" s="7">
        <v>0</v>
      </c>
      <c r="H53" s="7">
        <v>0</v>
      </c>
      <c r="I53" s="7" t="e">
        <f>COUNTIFS(#REF!, "f",#REF!, "&lt;&gt;*k*",#REF!, "*normal*",#REF!, "*normal*",#REF!, "no",#REF!, "yes")
+COUNTIFS(#REF!, "f",#REF!, "&lt;&gt;*k*",#REF!, "*normal*",#REF!,  "*overweigth*",#REF!, "no",#REF!, "yes")</f>
        <v>#REF!</v>
      </c>
      <c r="J53" s="7" t="e">
        <f>COUNTIFS(#REF!, "f",#REF!, "&lt;&gt;*k*",#REF!, "*tall*",#REF!, "*normal*",#REF!, "no",#REF!, "yes")
+COUNTIFS(#REF!, "f",#REF!, "&lt;&gt;*k*",#REF!, "*tall*",#REF!,  "overweigth",#REF!, "no",#REF!, "yes")</f>
        <v>#REF!</v>
      </c>
      <c r="L53" t="e">
        <f t="shared" si="57"/>
        <v>#REF!</v>
      </c>
      <c r="M53" t="e">
        <f t="shared" si="53"/>
        <v>#REF!</v>
      </c>
      <c r="O53" s="55"/>
      <c r="P53" s="7" t="s">
        <v>19</v>
      </c>
      <c r="Q53" s="7">
        <f>C53</f>
        <v>0</v>
      </c>
      <c r="R53" s="7">
        <f t="shared" ref="R53" si="98">D53</f>
        <v>0</v>
      </c>
      <c r="S53" s="7" t="e">
        <f t="shared" ref="S53" si="99">E53</f>
        <v>#REF!</v>
      </c>
      <c r="T53" s="7" t="e">
        <f t="shared" ref="T53" si="100">F53</f>
        <v>#REF!</v>
      </c>
      <c r="U53" s="7">
        <f t="shared" ref="U53" si="101">G53</f>
        <v>0</v>
      </c>
      <c r="V53" s="7">
        <f t="shared" ref="V53" si="102">H53</f>
        <v>0</v>
      </c>
      <c r="W53" s="7" t="e">
        <f t="shared" ref="W53" si="103">I53</f>
        <v>#REF!</v>
      </c>
      <c r="X53" s="7" t="e">
        <f t="shared" ref="X53" si="104">J53</f>
        <v>#REF!</v>
      </c>
      <c r="Z53" t="e">
        <f t="shared" si="55"/>
        <v>#REF!</v>
      </c>
      <c r="AA53" t="e">
        <f t="shared" si="56"/>
        <v>#REF!</v>
      </c>
    </row>
    <row r="54" spans="1:27" x14ac:dyDescent="0.35">
      <c r="A54" s="54"/>
      <c r="B54" s="8" t="s">
        <v>34</v>
      </c>
      <c r="C54" s="8">
        <f t="shared" ref="C54:J54" si="105">SUM(C52:C53)</f>
        <v>0</v>
      </c>
      <c r="D54" s="8">
        <f t="shared" si="105"/>
        <v>0</v>
      </c>
      <c r="E54" s="8" t="e">
        <f t="shared" si="105"/>
        <v>#REF!</v>
      </c>
      <c r="F54" s="8" t="e">
        <f t="shared" si="105"/>
        <v>#REF!</v>
      </c>
      <c r="G54" s="8">
        <f t="shared" si="105"/>
        <v>0</v>
      </c>
      <c r="H54" s="8">
        <f t="shared" si="105"/>
        <v>0</v>
      </c>
      <c r="I54" s="8" t="e">
        <f t="shared" si="105"/>
        <v>#REF!</v>
      </c>
      <c r="J54" s="8" t="e">
        <f t="shared" si="105"/>
        <v>#REF!</v>
      </c>
      <c r="L54" t="e">
        <f t="shared" si="57"/>
        <v>#REF!</v>
      </c>
      <c r="M54" t="e">
        <f t="shared" si="53"/>
        <v>#REF!</v>
      </c>
      <c r="O54" s="56"/>
      <c r="P54" s="8" t="s">
        <v>34</v>
      </c>
      <c r="Q54" s="8">
        <f t="shared" ref="Q54:X54" si="106">SUM(Q52:Q53)</f>
        <v>0</v>
      </c>
      <c r="R54" s="8">
        <f t="shared" si="106"/>
        <v>0</v>
      </c>
      <c r="S54" s="8" t="e">
        <f t="shared" si="106"/>
        <v>#REF!</v>
      </c>
      <c r="T54" s="8" t="e">
        <f t="shared" si="106"/>
        <v>#REF!</v>
      </c>
      <c r="U54" s="8">
        <f t="shared" si="106"/>
        <v>0</v>
      </c>
      <c r="V54" s="8">
        <f t="shared" si="106"/>
        <v>0</v>
      </c>
      <c r="W54" s="8" t="e">
        <f t="shared" si="106"/>
        <v>#REF!</v>
      </c>
      <c r="X54" s="8" t="e">
        <f t="shared" si="106"/>
        <v>#REF!</v>
      </c>
      <c r="Z54" t="e">
        <f t="shared" si="55"/>
        <v>#REF!</v>
      </c>
      <c r="AA54" t="e">
        <f t="shared" si="56"/>
        <v>#REF!</v>
      </c>
    </row>
    <row r="55" spans="1:27" x14ac:dyDescent="0.35">
      <c r="A55" s="52" t="s">
        <v>44</v>
      </c>
      <c r="B55" s="9" t="s">
        <v>17</v>
      </c>
      <c r="C55" s="9">
        <f t="shared" ref="C55:J56" si="107">SUM(C40,C43,C46,C49,C52)</f>
        <v>0</v>
      </c>
      <c r="D55" s="9">
        <f t="shared" si="107"/>
        <v>0</v>
      </c>
      <c r="E55" s="9" t="e">
        <f t="shared" si="107"/>
        <v>#REF!</v>
      </c>
      <c r="F55" s="9" t="e">
        <f t="shared" si="107"/>
        <v>#REF!</v>
      </c>
      <c r="G55" s="9" t="e">
        <f t="shared" si="107"/>
        <v>#REF!</v>
      </c>
      <c r="H55" s="9" t="e">
        <f t="shared" si="107"/>
        <v>#REF!</v>
      </c>
      <c r="I55" s="9" t="e">
        <f t="shared" si="107"/>
        <v>#REF!</v>
      </c>
      <c r="J55" s="9" t="e">
        <f t="shared" si="107"/>
        <v>#REF!</v>
      </c>
      <c r="L55" t="e">
        <f t="shared" si="57"/>
        <v>#REF!</v>
      </c>
      <c r="M55" t="e">
        <f t="shared" si="53"/>
        <v>#REF!</v>
      </c>
      <c r="O55" s="52" t="s">
        <v>41</v>
      </c>
      <c r="P55" s="9" t="s">
        <v>17</v>
      </c>
      <c r="Q55" s="9">
        <f t="shared" ref="Q55:X56" si="108">SUM(Q40,Q43,Q46,Q49,Q52)</f>
        <v>0</v>
      </c>
      <c r="R55" s="9">
        <f t="shared" si="108"/>
        <v>0</v>
      </c>
      <c r="S55" s="9" t="e">
        <f t="shared" si="108"/>
        <v>#REF!</v>
      </c>
      <c r="T55" s="9" t="e">
        <f t="shared" si="108"/>
        <v>#REF!</v>
      </c>
      <c r="U55" s="9" t="e">
        <f t="shared" si="108"/>
        <v>#REF!</v>
      </c>
      <c r="V55" s="9" t="e">
        <f t="shared" si="108"/>
        <v>#REF!</v>
      </c>
      <c r="W55" s="9" t="e">
        <f t="shared" si="108"/>
        <v>#REF!</v>
      </c>
      <c r="X55" s="9" t="e">
        <f t="shared" si="108"/>
        <v>#REF!</v>
      </c>
      <c r="Z55" t="e">
        <f t="shared" si="55"/>
        <v>#REF!</v>
      </c>
      <c r="AA55" t="e">
        <f t="shared" si="56"/>
        <v>#REF!</v>
      </c>
    </row>
    <row r="56" spans="1:27" x14ac:dyDescent="0.35">
      <c r="A56" s="53"/>
      <c r="B56" s="9" t="s">
        <v>19</v>
      </c>
      <c r="C56" s="9">
        <f t="shared" si="107"/>
        <v>0</v>
      </c>
      <c r="D56" s="9">
        <f t="shared" si="107"/>
        <v>0</v>
      </c>
      <c r="E56" s="9" t="e">
        <f t="shared" si="107"/>
        <v>#REF!</v>
      </c>
      <c r="F56" s="9" t="e">
        <f t="shared" si="107"/>
        <v>#REF!</v>
      </c>
      <c r="G56" s="9" t="e">
        <f t="shared" si="107"/>
        <v>#REF!</v>
      </c>
      <c r="H56" s="9" t="e">
        <f t="shared" si="107"/>
        <v>#REF!</v>
      </c>
      <c r="I56" s="9" t="e">
        <f t="shared" si="107"/>
        <v>#REF!</v>
      </c>
      <c r="J56" s="9" t="e">
        <f t="shared" si="107"/>
        <v>#REF!</v>
      </c>
      <c r="L56" t="e">
        <f t="shared" si="57"/>
        <v>#REF!</v>
      </c>
      <c r="M56" t="e">
        <f t="shared" si="53"/>
        <v>#REF!</v>
      </c>
      <c r="O56" s="55"/>
      <c r="P56" s="9" t="s">
        <v>19</v>
      </c>
      <c r="Q56" s="9">
        <f t="shared" si="108"/>
        <v>0</v>
      </c>
      <c r="R56" s="9">
        <f t="shared" si="108"/>
        <v>0</v>
      </c>
      <c r="S56" s="9" t="e">
        <f t="shared" si="108"/>
        <v>#REF!</v>
      </c>
      <c r="T56" s="9" t="e">
        <f t="shared" si="108"/>
        <v>#REF!</v>
      </c>
      <c r="U56" s="9" t="e">
        <f t="shared" si="108"/>
        <v>#REF!</v>
      </c>
      <c r="V56" s="9" t="e">
        <f t="shared" si="108"/>
        <v>#REF!</v>
      </c>
      <c r="W56" s="9" t="e">
        <f t="shared" si="108"/>
        <v>#REF!</v>
      </c>
      <c r="X56" s="9" t="e">
        <f t="shared" si="108"/>
        <v>#REF!</v>
      </c>
      <c r="Z56" t="e">
        <f t="shared" si="55"/>
        <v>#REF!</v>
      </c>
      <c r="AA56" t="e">
        <f t="shared" si="56"/>
        <v>#REF!</v>
      </c>
    </row>
    <row r="57" spans="1:27" x14ac:dyDescent="0.35">
      <c r="A57" s="54"/>
      <c r="B57" s="8" t="s">
        <v>34</v>
      </c>
      <c r="C57" s="8">
        <f t="shared" ref="C57:J57" si="109">SUM(C55:C56)</f>
        <v>0</v>
      </c>
      <c r="D57" s="8">
        <f t="shared" si="109"/>
        <v>0</v>
      </c>
      <c r="E57" s="8" t="e">
        <f t="shared" si="109"/>
        <v>#REF!</v>
      </c>
      <c r="F57" s="8" t="e">
        <f t="shared" si="109"/>
        <v>#REF!</v>
      </c>
      <c r="G57" s="8" t="e">
        <f t="shared" si="109"/>
        <v>#REF!</v>
      </c>
      <c r="H57" s="8" t="e">
        <f t="shared" si="109"/>
        <v>#REF!</v>
      </c>
      <c r="I57" s="8" t="e">
        <f t="shared" si="109"/>
        <v>#REF!</v>
      </c>
      <c r="J57" s="8" t="e">
        <f t="shared" si="109"/>
        <v>#REF!</v>
      </c>
      <c r="L57" t="e">
        <f t="shared" si="57"/>
        <v>#REF!</v>
      </c>
      <c r="M57" t="e">
        <f t="shared" si="53"/>
        <v>#REF!</v>
      </c>
      <c r="O57" s="56"/>
      <c r="P57" s="8" t="s">
        <v>34</v>
      </c>
      <c r="Q57" s="8">
        <f t="shared" ref="Q57:X57" si="110">SUM(Q55:Q56)</f>
        <v>0</v>
      </c>
      <c r="R57" s="8">
        <f t="shared" si="110"/>
        <v>0</v>
      </c>
      <c r="S57" s="8" t="e">
        <f t="shared" si="110"/>
        <v>#REF!</v>
      </c>
      <c r="T57" s="8" t="e">
        <f t="shared" si="110"/>
        <v>#REF!</v>
      </c>
      <c r="U57" s="8" t="e">
        <f t="shared" si="110"/>
        <v>#REF!</v>
      </c>
      <c r="V57" s="8" t="e">
        <f t="shared" si="110"/>
        <v>#REF!</v>
      </c>
      <c r="W57" s="8" t="e">
        <f t="shared" si="110"/>
        <v>#REF!</v>
      </c>
      <c r="X57" s="8" t="e">
        <f t="shared" si="110"/>
        <v>#REF!</v>
      </c>
      <c r="Z57" t="e">
        <f t="shared" si="55"/>
        <v>#REF!</v>
      </c>
      <c r="AA57" t="e">
        <f t="shared" si="56"/>
        <v>#REF!</v>
      </c>
    </row>
    <row r="58" spans="1:27" x14ac:dyDescent="0.35">
      <c r="A58" s="52" t="s">
        <v>42</v>
      </c>
      <c r="B58" s="10" t="s">
        <v>17</v>
      </c>
      <c r="C58" s="10" t="e">
        <f t="shared" ref="C58:J59" si="111">SUM(C34,C55)</f>
        <v>#REF!</v>
      </c>
      <c r="D58" s="10" t="e">
        <f t="shared" si="111"/>
        <v>#REF!</v>
      </c>
      <c r="E58" s="10" t="e">
        <f t="shared" si="111"/>
        <v>#REF!</v>
      </c>
      <c r="F58" s="10" t="e">
        <f t="shared" si="111"/>
        <v>#REF!</v>
      </c>
      <c r="G58" s="10" t="e">
        <f t="shared" si="111"/>
        <v>#REF!</v>
      </c>
      <c r="H58" s="10" t="e">
        <f t="shared" si="111"/>
        <v>#REF!</v>
      </c>
      <c r="I58" s="10" t="e">
        <f t="shared" si="111"/>
        <v>#REF!</v>
      </c>
      <c r="J58" s="10" t="e">
        <f t="shared" si="111"/>
        <v>#REF!</v>
      </c>
      <c r="L58" t="e">
        <f t="shared" si="57"/>
        <v>#REF!</v>
      </c>
      <c r="M58" t="e">
        <f t="shared" si="53"/>
        <v>#REF!</v>
      </c>
      <c r="O58" s="52" t="s">
        <v>42</v>
      </c>
      <c r="P58" s="10" t="s">
        <v>17</v>
      </c>
      <c r="Q58" s="10" t="e">
        <f t="shared" ref="Q58:X59" si="112">SUM(Q34,Q55)</f>
        <v>#REF!</v>
      </c>
      <c r="R58" s="10" t="e">
        <f t="shared" si="112"/>
        <v>#REF!</v>
      </c>
      <c r="S58" s="10" t="e">
        <f t="shared" si="112"/>
        <v>#REF!</v>
      </c>
      <c r="T58" s="10" t="e">
        <f t="shared" si="112"/>
        <v>#REF!</v>
      </c>
      <c r="U58" s="10" t="e">
        <f t="shared" si="112"/>
        <v>#REF!</v>
      </c>
      <c r="V58" s="10" t="e">
        <f t="shared" si="112"/>
        <v>#REF!</v>
      </c>
      <c r="W58" s="10" t="e">
        <f t="shared" si="112"/>
        <v>#REF!</v>
      </c>
      <c r="X58" s="10" t="e">
        <f t="shared" si="112"/>
        <v>#REF!</v>
      </c>
      <c r="Z58" t="e">
        <f t="shared" si="55"/>
        <v>#REF!</v>
      </c>
      <c r="AA58" t="e">
        <f t="shared" si="56"/>
        <v>#REF!</v>
      </c>
    </row>
    <row r="59" spans="1:27" x14ac:dyDescent="0.35">
      <c r="A59" s="53"/>
      <c r="B59" s="10" t="s">
        <v>19</v>
      </c>
      <c r="C59" s="10" t="e">
        <f t="shared" si="111"/>
        <v>#REF!</v>
      </c>
      <c r="D59" s="10" t="e">
        <f t="shared" si="111"/>
        <v>#REF!</v>
      </c>
      <c r="E59" s="10" t="e">
        <f t="shared" si="111"/>
        <v>#REF!</v>
      </c>
      <c r="F59" s="10" t="e">
        <f t="shared" si="111"/>
        <v>#REF!</v>
      </c>
      <c r="G59" s="10" t="e">
        <f t="shared" si="111"/>
        <v>#REF!</v>
      </c>
      <c r="H59" s="10" t="e">
        <f t="shared" si="111"/>
        <v>#REF!</v>
      </c>
      <c r="I59" s="10" t="e">
        <f t="shared" si="111"/>
        <v>#REF!</v>
      </c>
      <c r="J59" s="10" t="e">
        <f t="shared" si="111"/>
        <v>#REF!</v>
      </c>
      <c r="L59" t="e">
        <f t="shared" si="57"/>
        <v>#REF!</v>
      </c>
      <c r="M59" t="e">
        <f t="shared" si="53"/>
        <v>#REF!</v>
      </c>
      <c r="O59" s="55"/>
      <c r="P59" s="10" t="s">
        <v>19</v>
      </c>
      <c r="Q59" s="10" t="e">
        <f t="shared" si="112"/>
        <v>#REF!</v>
      </c>
      <c r="R59" s="10" t="e">
        <f t="shared" si="112"/>
        <v>#REF!</v>
      </c>
      <c r="S59" s="10" t="e">
        <f t="shared" si="112"/>
        <v>#REF!</v>
      </c>
      <c r="T59" s="10" t="e">
        <f t="shared" si="112"/>
        <v>#REF!</v>
      </c>
      <c r="U59" s="10" t="e">
        <f t="shared" si="112"/>
        <v>#REF!</v>
      </c>
      <c r="V59" s="10" t="e">
        <f t="shared" si="112"/>
        <v>#REF!</v>
      </c>
      <c r="W59" s="10" t="e">
        <f t="shared" si="112"/>
        <v>#REF!</v>
      </c>
      <c r="X59" s="10" t="e">
        <f t="shared" si="112"/>
        <v>#REF!</v>
      </c>
      <c r="Z59" t="e">
        <f t="shared" si="55"/>
        <v>#REF!</v>
      </c>
      <c r="AA59" t="e">
        <f t="shared" si="56"/>
        <v>#REF!</v>
      </c>
    </row>
    <row r="60" spans="1:27" x14ac:dyDescent="0.35">
      <c r="A60" s="54"/>
      <c r="B60" s="8" t="s">
        <v>34</v>
      </c>
      <c r="C60" s="11" t="e">
        <f t="shared" ref="C60:J60" si="113">SUM(C58:C59)</f>
        <v>#REF!</v>
      </c>
      <c r="D60" s="11" t="e">
        <f t="shared" si="113"/>
        <v>#REF!</v>
      </c>
      <c r="E60" s="11" t="e">
        <f t="shared" si="113"/>
        <v>#REF!</v>
      </c>
      <c r="F60" s="11" t="e">
        <f t="shared" si="113"/>
        <v>#REF!</v>
      </c>
      <c r="G60" s="11" t="e">
        <f t="shared" si="113"/>
        <v>#REF!</v>
      </c>
      <c r="H60" s="11" t="e">
        <f t="shared" si="113"/>
        <v>#REF!</v>
      </c>
      <c r="I60" s="11" t="e">
        <f t="shared" si="113"/>
        <v>#REF!</v>
      </c>
      <c r="J60" s="11" t="e">
        <f t="shared" si="113"/>
        <v>#REF!</v>
      </c>
      <c r="L60" t="e">
        <f t="shared" si="57"/>
        <v>#REF!</v>
      </c>
      <c r="M60" t="e">
        <f t="shared" si="53"/>
        <v>#REF!</v>
      </c>
      <c r="O60" s="56"/>
      <c r="P60" s="8" t="s">
        <v>34</v>
      </c>
      <c r="Q60" s="11" t="e">
        <f t="shared" ref="Q60:X60" si="114">SUM(Q58:Q59)</f>
        <v>#REF!</v>
      </c>
      <c r="R60" s="11" t="e">
        <f t="shared" si="114"/>
        <v>#REF!</v>
      </c>
      <c r="S60" s="11" t="e">
        <f t="shared" si="114"/>
        <v>#REF!</v>
      </c>
      <c r="T60" s="11" t="e">
        <f t="shared" si="114"/>
        <v>#REF!</v>
      </c>
      <c r="U60" s="11" t="e">
        <f t="shared" si="114"/>
        <v>#REF!</v>
      </c>
      <c r="V60" s="11" t="e">
        <f t="shared" si="114"/>
        <v>#REF!</v>
      </c>
      <c r="W60" s="11" t="e">
        <f t="shared" si="114"/>
        <v>#REF!</v>
      </c>
      <c r="X60" s="11" t="e">
        <f t="shared" si="114"/>
        <v>#REF!</v>
      </c>
      <c r="Z60" t="e">
        <f t="shared" si="55"/>
        <v>#REF!</v>
      </c>
      <c r="AA60" t="e">
        <f t="shared" si="56"/>
        <v>#REF!</v>
      </c>
    </row>
    <row r="63" spans="1:27" ht="15" customHeight="1" x14ac:dyDescent="0.3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x14ac:dyDescent="0.3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x14ac:dyDescent="0.3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x14ac:dyDescent="0.3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x14ac:dyDescent="0.3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x14ac:dyDescent="0.3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x14ac:dyDescent="0.3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x14ac:dyDescent="0.3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ht="148.5" hidden="1" customHeight="1" x14ac:dyDescent="0.35">
      <c r="A71" s="67" t="s">
        <v>94</v>
      </c>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sheetData>
  <mergeCells count="41">
    <mergeCell ref="A71:AA71"/>
    <mergeCell ref="A1:J7"/>
    <mergeCell ref="O1:X7"/>
    <mergeCell ref="B8:J8"/>
    <mergeCell ref="P8:X8"/>
    <mergeCell ref="A10:A12"/>
    <mergeCell ref="O10:O12"/>
    <mergeCell ref="A13:A15"/>
    <mergeCell ref="O13:O15"/>
    <mergeCell ref="A16:A18"/>
    <mergeCell ref="O16:O18"/>
    <mergeCell ref="A19:A21"/>
    <mergeCell ref="O19:O21"/>
    <mergeCell ref="A22:A24"/>
    <mergeCell ref="O22:O24"/>
    <mergeCell ref="A25:A27"/>
    <mergeCell ref="O25:O27"/>
    <mergeCell ref="A28:A30"/>
    <mergeCell ref="O28:O30"/>
    <mergeCell ref="A46:A48"/>
    <mergeCell ref="O46:O48"/>
    <mergeCell ref="A31:A33"/>
    <mergeCell ref="O31:O33"/>
    <mergeCell ref="A34:A36"/>
    <mergeCell ref="O34:O36"/>
    <mergeCell ref="A37:A39"/>
    <mergeCell ref="B37:J38"/>
    <mergeCell ref="O37:O39"/>
    <mergeCell ref="P37:X38"/>
    <mergeCell ref="A40:A42"/>
    <mergeCell ref="O40:O42"/>
    <mergeCell ref="A43:A45"/>
    <mergeCell ref="O43:O45"/>
    <mergeCell ref="A58:A60"/>
    <mergeCell ref="O58:O60"/>
    <mergeCell ref="A49:A51"/>
    <mergeCell ref="O49:O51"/>
    <mergeCell ref="A52:A54"/>
    <mergeCell ref="O52:O54"/>
    <mergeCell ref="A55:A57"/>
    <mergeCell ref="O55:O57"/>
  </mergeCells>
  <pageMargins left="0.7" right="0.7" top="0.75" bottom="0.75" header="0.3" footer="0.3"/>
  <pageSetup scale="68" orientation="portrait" horizontalDpi="0" verticalDpi="0" r:id="rId1"/>
  <colBreaks count="1" manualBreakCount="1">
    <brk id="1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47"/>
  <sheetViews>
    <sheetView zoomScale="85" zoomScaleNormal="85" zoomScaleSheetLayoutView="100" workbookViewId="0">
      <selection activeCell="C14" sqref="C14"/>
    </sheetView>
  </sheetViews>
  <sheetFormatPr defaultRowHeight="14.5" x14ac:dyDescent="0.35"/>
  <cols>
    <col min="1" max="1" width="21.1796875" customWidth="1"/>
    <col min="2" max="2" width="14" customWidth="1"/>
    <col min="3" max="16" width="14.26953125" customWidth="1"/>
    <col min="17" max="18" width="18" customWidth="1"/>
    <col min="19" max="19" width="16.6328125" customWidth="1"/>
    <col min="21" max="22" width="10.54296875" customWidth="1"/>
  </cols>
  <sheetData>
    <row r="1" spans="1:22" x14ac:dyDescent="0.35">
      <c r="A1" s="27" t="s">
        <v>84</v>
      </c>
    </row>
    <row r="2" spans="1:22" x14ac:dyDescent="0.35">
      <c r="A2" s="73" t="s">
        <v>48</v>
      </c>
      <c r="B2" s="81"/>
      <c r="C2" s="81"/>
      <c r="D2" s="81"/>
      <c r="E2" s="81"/>
      <c r="F2" s="81"/>
      <c r="G2" s="81"/>
      <c r="H2" s="81"/>
      <c r="I2" s="81"/>
      <c r="J2" s="81"/>
      <c r="K2" s="81"/>
      <c r="L2" s="81"/>
      <c r="M2" s="81"/>
      <c r="N2" s="81"/>
      <c r="O2" s="81"/>
      <c r="P2" s="81"/>
      <c r="Q2" s="81"/>
      <c r="R2" s="81"/>
      <c r="S2" s="81"/>
      <c r="T2" s="81"/>
    </row>
    <row r="3" spans="1:22" x14ac:dyDescent="0.35">
      <c r="A3" s="73" t="s">
        <v>81</v>
      </c>
      <c r="B3" s="81"/>
      <c r="C3" s="81"/>
      <c r="D3" s="81"/>
      <c r="E3" s="81"/>
      <c r="F3" s="81"/>
      <c r="G3" s="81"/>
      <c r="H3" s="81"/>
      <c r="I3" s="81"/>
      <c r="J3" s="81"/>
      <c r="K3" s="81"/>
      <c r="L3" s="81"/>
      <c r="M3" s="81"/>
      <c r="N3" s="81"/>
      <c r="O3" s="81"/>
      <c r="P3" s="81"/>
      <c r="Q3" s="81"/>
      <c r="R3" s="81"/>
      <c r="S3" s="81"/>
      <c r="T3" s="81"/>
    </row>
    <row r="5" spans="1:22" x14ac:dyDescent="0.35">
      <c r="A5" s="96" t="s">
        <v>82</v>
      </c>
      <c r="B5" s="81"/>
      <c r="C5" s="81"/>
      <c r="D5" s="81"/>
      <c r="E5" s="81"/>
      <c r="F5" s="81"/>
      <c r="G5" s="81"/>
      <c r="H5" s="81"/>
      <c r="I5" s="81"/>
      <c r="J5" s="81"/>
      <c r="K5" s="81"/>
      <c r="L5" s="81"/>
      <c r="M5" s="81"/>
      <c r="N5" s="81"/>
      <c r="O5" s="81"/>
      <c r="P5" s="81"/>
      <c r="Q5" s="81"/>
      <c r="R5" s="81"/>
      <c r="S5" s="81"/>
      <c r="T5" s="81"/>
    </row>
    <row r="6" spans="1:22" x14ac:dyDescent="0.35">
      <c r="A6" s="68" t="s">
        <v>83</v>
      </c>
      <c r="B6" s="68"/>
      <c r="C6" s="68"/>
      <c r="D6" s="68"/>
      <c r="E6" s="68"/>
      <c r="F6" s="68"/>
      <c r="G6" s="68"/>
      <c r="H6" s="28"/>
      <c r="I6" s="28"/>
      <c r="J6" s="28"/>
      <c r="K6" s="28"/>
      <c r="L6" s="28"/>
      <c r="M6" s="28"/>
      <c r="N6" s="28"/>
      <c r="O6" s="28"/>
      <c r="P6" s="28"/>
      <c r="Q6" s="28"/>
      <c r="R6" s="28"/>
      <c r="S6" s="28"/>
      <c r="T6" s="28"/>
    </row>
    <row r="7" spans="1:22" x14ac:dyDescent="0.35">
      <c r="A7" s="68" t="s">
        <v>91</v>
      </c>
      <c r="B7" s="68"/>
      <c r="C7" s="68"/>
      <c r="D7" s="68"/>
      <c r="E7" s="68"/>
      <c r="F7" s="68"/>
      <c r="G7" s="68"/>
      <c r="H7" s="28"/>
      <c r="I7" s="28"/>
      <c r="J7" s="28"/>
      <c r="K7" s="28"/>
      <c r="L7" s="28"/>
      <c r="M7" s="28"/>
      <c r="N7" s="28"/>
      <c r="O7" s="28"/>
      <c r="P7" s="28"/>
      <c r="Q7" s="28"/>
      <c r="R7" s="28"/>
      <c r="S7" s="28"/>
      <c r="T7" s="28"/>
    </row>
    <row r="8" spans="1:22" x14ac:dyDescent="0.35">
      <c r="A8" s="68" t="s">
        <v>92</v>
      </c>
      <c r="B8" s="68"/>
      <c r="C8" s="68"/>
      <c r="D8" s="68"/>
      <c r="E8" s="68"/>
      <c r="F8" s="68"/>
      <c r="G8" s="68"/>
    </row>
    <row r="9" spans="1:22" x14ac:dyDescent="0.35">
      <c r="A9" s="68" t="s">
        <v>93</v>
      </c>
      <c r="B9" s="68"/>
      <c r="C9" s="68"/>
      <c r="D9" s="68"/>
      <c r="E9" s="68"/>
      <c r="F9" s="68"/>
      <c r="G9" s="68"/>
      <c r="H9" s="31"/>
    </row>
    <row r="10" spans="1:22" x14ac:dyDescent="0.35">
      <c r="A10" s="68" t="s">
        <v>88</v>
      </c>
      <c r="B10" s="68"/>
      <c r="C10" s="68"/>
      <c r="D10" s="68"/>
      <c r="E10" s="68"/>
      <c r="F10" s="68"/>
      <c r="G10" s="68"/>
    </row>
    <row r="11" spans="1:22" x14ac:dyDescent="0.35">
      <c r="A11" s="89" t="s">
        <v>85</v>
      </c>
      <c r="B11" s="89"/>
      <c r="C11" s="89"/>
      <c r="D11" s="89"/>
      <c r="E11" s="89"/>
      <c r="F11" s="89"/>
      <c r="G11" s="89"/>
    </row>
    <row r="12" spans="1:22" ht="60" customHeight="1" x14ac:dyDescent="0.35">
      <c r="A12" s="30" t="s">
        <v>49</v>
      </c>
      <c r="B12" s="30" t="s">
        <v>2</v>
      </c>
      <c r="C12" s="30" t="s">
        <v>50</v>
      </c>
      <c r="D12" s="102"/>
      <c r="E12" s="102"/>
      <c r="F12" s="102"/>
      <c r="G12" s="102"/>
      <c r="H12" s="102"/>
      <c r="I12" s="102"/>
      <c r="J12" s="102"/>
      <c r="K12" s="101" t="s">
        <v>51</v>
      </c>
      <c r="L12" s="101"/>
      <c r="M12" s="101"/>
      <c r="N12" s="101"/>
      <c r="O12" s="101"/>
      <c r="P12" s="101"/>
      <c r="Q12" s="30"/>
      <c r="R12" s="30"/>
      <c r="S12" s="30"/>
      <c r="T12" s="15"/>
      <c r="U12" s="97" t="s">
        <v>52</v>
      </c>
      <c r="V12" s="98"/>
    </row>
    <row r="13" spans="1:22" ht="96" customHeight="1" x14ac:dyDescent="0.35">
      <c r="A13" s="29"/>
      <c r="B13" s="29"/>
      <c r="C13" s="29" t="s">
        <v>53</v>
      </c>
      <c r="D13" s="29" t="s">
        <v>20</v>
      </c>
      <c r="E13" s="29" t="s">
        <v>18</v>
      </c>
      <c r="F13" s="29" t="s">
        <v>54</v>
      </c>
      <c r="G13" s="29" t="s">
        <v>55</v>
      </c>
      <c r="H13" s="29" t="s">
        <v>21</v>
      </c>
      <c r="I13" s="29" t="s">
        <v>18</v>
      </c>
      <c r="J13" s="29" t="s">
        <v>22</v>
      </c>
      <c r="K13" s="29" t="s">
        <v>56</v>
      </c>
      <c r="L13" s="29" t="s">
        <v>57</v>
      </c>
      <c r="M13" s="29" t="s">
        <v>58</v>
      </c>
      <c r="N13" s="29" t="s">
        <v>59</v>
      </c>
      <c r="O13" s="29" t="s">
        <v>60</v>
      </c>
      <c r="P13" s="29" t="s">
        <v>61</v>
      </c>
      <c r="Q13" s="29" t="s">
        <v>62</v>
      </c>
      <c r="R13" s="29" t="s">
        <v>62</v>
      </c>
      <c r="S13" s="29" t="s">
        <v>63</v>
      </c>
      <c r="U13" s="17" t="s">
        <v>64</v>
      </c>
      <c r="V13" s="18" t="s">
        <v>65</v>
      </c>
    </row>
    <row r="14" spans="1:22" ht="19.5" customHeight="1" x14ac:dyDescent="0.35">
      <c r="A14" s="91" t="s">
        <v>66</v>
      </c>
      <c r="B14" s="16" t="s">
        <v>17</v>
      </c>
      <c r="C14" s="19" t="e">
        <f>COUNTIFS(#REF!, "m",#REF!, "*severely wasted*",#REF!, "*k*")</f>
        <v>#REF!</v>
      </c>
      <c r="D14" s="1" t="e">
        <f>COUNTIFS(#REF!, "m",#REF!, "wasted",#REF!, "*k*")</f>
        <v>#REF!</v>
      </c>
      <c r="E14" s="1" t="e">
        <f>COUNTIFS(#REF!, "m",#REF!, "*normal*",#REF!, "*k*")</f>
        <v>#REF!</v>
      </c>
      <c r="F14" s="1" t="e">
        <f>COUNTIFS(#REF!, "m",#REF!, "overweight",#REF!, "*k*")
+COUNTIFS(#REF!, "m",#REF!, "obese",#REF!, "*k*")</f>
        <v>#REF!</v>
      </c>
      <c r="G14" s="19" t="e">
        <f>COUNTIFS(#REF!, "m",#REF!, "*severely stunted*",#REF!, "*k*")</f>
        <v>#REF!</v>
      </c>
      <c r="H14" s="19" t="e">
        <f>COUNTIFS(#REF!, "m",#REF!, "stunted",#REF!, "*k*")</f>
        <v>#REF!</v>
      </c>
      <c r="I14" s="19" t="e">
        <f>COUNTIFS(#REF!, "m",#REF!, "*normal*",#REF!, "*k*")</f>
        <v>#REF!</v>
      </c>
      <c r="J14" s="19" t="e">
        <f>COUNTIFS(#REF!, "m",#REF!, "tall",#REF!, "*k*")</f>
        <v>#REF!</v>
      </c>
      <c r="K14" s="16">
        <v>0</v>
      </c>
      <c r="L14" s="19">
        <v>0</v>
      </c>
      <c r="M14" s="16">
        <v>0</v>
      </c>
      <c r="N14" s="16">
        <v>0</v>
      </c>
      <c r="O14" s="19">
        <v>0</v>
      </c>
      <c r="P14" s="16">
        <v>0</v>
      </c>
      <c r="Q14" s="16">
        <v>0</v>
      </c>
      <c r="R14" s="16">
        <v>0</v>
      </c>
      <c r="S14" s="20"/>
      <c r="U14" s="32" t="e">
        <f t="shared" ref="U14:U40" si="0">SUM(C14,D14,E14,F14)</f>
        <v>#REF!</v>
      </c>
      <c r="V14" s="21" t="e">
        <f t="shared" ref="V14:V40" si="1">SUM(G14,H14,I14,J14)</f>
        <v>#REF!</v>
      </c>
    </row>
    <row r="15" spans="1:22" ht="19.5" customHeight="1" x14ac:dyDescent="0.35">
      <c r="A15" s="92"/>
      <c r="B15" s="16" t="s">
        <v>19</v>
      </c>
      <c r="C15" s="19" t="e">
        <f>COUNTIFS(#REF!, "f",#REF!, "*severely wasted*",#REF!, "*k*")</f>
        <v>#REF!</v>
      </c>
      <c r="D15" s="1" t="e">
        <f>COUNTIFS(#REF!, "f",#REF!, "wasted",#REF!, "*k*")</f>
        <v>#REF!</v>
      </c>
      <c r="E15" s="1" t="e">
        <f>COUNTIFS(#REF!, "f",#REF!, "*normal*",#REF!, "*k*")</f>
        <v>#REF!</v>
      </c>
      <c r="F15" s="1" t="e">
        <f>COUNTIFS(#REF!, "f",#REF!, "overweight",#REF!, "*k*")
+COUNTIFS(#REF!, "f",#REF!, "obese",#REF!, "*k*")</f>
        <v>#REF!</v>
      </c>
      <c r="G15" s="16" t="e">
        <f>COUNTIFS(#REF!, "f",#REF!, "*severely stunted*",#REF!, "*k*")</f>
        <v>#REF!</v>
      </c>
      <c r="H15" s="19" t="e">
        <f>COUNTIFS(#REF!, "f",#REF!, "stunted",#REF!, "*k*")</f>
        <v>#REF!</v>
      </c>
      <c r="I15" s="19" t="e">
        <f>COUNTIFS(#REF!, "f",#REF!, "*normal*",#REF!, "*k*")</f>
        <v>#REF!</v>
      </c>
      <c r="J15" s="19" t="e">
        <f>COUNTIFS(#REF!, "f",#REF!, "tall",#REF!, "*k*")</f>
        <v>#REF!</v>
      </c>
      <c r="K15" s="16">
        <v>0</v>
      </c>
      <c r="L15" s="19">
        <v>0</v>
      </c>
      <c r="M15" s="16">
        <v>0</v>
      </c>
      <c r="N15" s="16">
        <v>0</v>
      </c>
      <c r="O15" s="19">
        <v>0</v>
      </c>
      <c r="P15" s="16">
        <v>0</v>
      </c>
      <c r="Q15" s="16">
        <v>0</v>
      </c>
      <c r="R15" s="16">
        <v>0</v>
      </c>
      <c r="S15" s="20"/>
      <c r="U15" s="32" t="e">
        <f t="shared" si="0"/>
        <v>#REF!</v>
      </c>
      <c r="V15" s="21" t="e">
        <f t="shared" si="1"/>
        <v>#REF!</v>
      </c>
    </row>
    <row r="16" spans="1:22" ht="19.5" customHeight="1" x14ac:dyDescent="0.35">
      <c r="A16" s="93"/>
      <c r="B16" s="16" t="s">
        <v>36</v>
      </c>
      <c r="C16" s="22" t="e">
        <f t="shared" ref="C16:R16" si="2">SUM(C14,C15)</f>
        <v>#REF!</v>
      </c>
      <c r="D16" s="22" t="e">
        <f t="shared" si="2"/>
        <v>#REF!</v>
      </c>
      <c r="E16" s="22" t="e">
        <f t="shared" si="2"/>
        <v>#REF!</v>
      </c>
      <c r="F16" s="22" t="e">
        <f t="shared" si="2"/>
        <v>#REF!</v>
      </c>
      <c r="G16" s="22" t="e">
        <f t="shared" si="2"/>
        <v>#REF!</v>
      </c>
      <c r="H16" s="22" t="e">
        <f t="shared" si="2"/>
        <v>#REF!</v>
      </c>
      <c r="I16" s="22" t="e">
        <f t="shared" si="2"/>
        <v>#REF!</v>
      </c>
      <c r="J16" s="22" t="e">
        <f t="shared" si="2"/>
        <v>#REF!</v>
      </c>
      <c r="K16" s="22">
        <f t="shared" si="2"/>
        <v>0</v>
      </c>
      <c r="L16" s="22">
        <f t="shared" si="2"/>
        <v>0</v>
      </c>
      <c r="M16" s="22">
        <f t="shared" si="2"/>
        <v>0</v>
      </c>
      <c r="N16" s="22">
        <f t="shared" si="2"/>
        <v>0</v>
      </c>
      <c r="O16" s="22">
        <f t="shared" si="2"/>
        <v>0</v>
      </c>
      <c r="P16" s="22">
        <f t="shared" si="2"/>
        <v>0</v>
      </c>
      <c r="Q16" s="22">
        <f t="shared" si="2"/>
        <v>0</v>
      </c>
      <c r="R16" s="22">
        <f t="shared" si="2"/>
        <v>0</v>
      </c>
      <c r="S16" s="20"/>
      <c r="U16" s="32" t="e">
        <f t="shared" si="0"/>
        <v>#REF!</v>
      </c>
      <c r="V16" s="21" t="e">
        <f t="shared" si="1"/>
        <v>#REF!</v>
      </c>
    </row>
    <row r="17" spans="1:22" ht="19.5" customHeight="1" x14ac:dyDescent="0.35">
      <c r="A17" s="91" t="s">
        <v>67</v>
      </c>
      <c r="B17" s="16" t="s">
        <v>17</v>
      </c>
      <c r="C17" s="19" t="e">
        <f>COUNTIFS(#REF!, "m",#REF!, "*severely wasted*",#REF!, "*1*")</f>
        <v>#REF!</v>
      </c>
      <c r="D17" s="19" t="e">
        <f>COUNTIFS(#REF!, "m",#REF!, "wasted",#REF!, "*1*")</f>
        <v>#REF!</v>
      </c>
      <c r="E17" s="19" t="e">
        <f>COUNTIFS(#REF!, "m",#REF!, "*normal*",#REF!, "*1*")</f>
        <v>#REF!</v>
      </c>
      <c r="F17" s="19" t="e">
        <f>COUNTIFS(#REF!, "m",#REF!, "overweight",#REF!, "*1*")</f>
        <v>#REF!</v>
      </c>
      <c r="G17" s="19" t="e">
        <f>COUNTIFS(#REF!, "m",#REF!, "severely stunted",#REF!, "*1*")</f>
        <v>#REF!</v>
      </c>
      <c r="H17" s="19" t="e">
        <f>COUNTIFS(#REF!, "m",#REF!, "stunted",#REF!, "*1*")</f>
        <v>#REF!</v>
      </c>
      <c r="I17" s="19" t="e">
        <f>COUNTIFS(#REF!, "m",#REF!, "*normal*",#REF!, "*1*")</f>
        <v>#REF!</v>
      </c>
      <c r="J17" s="16" t="e">
        <f>COUNTIFS(#REF!, "m",#REF!, "tall",#REF!, "*1*")</f>
        <v>#REF!</v>
      </c>
      <c r="K17" s="16">
        <v>0</v>
      </c>
      <c r="L17" s="19" t="e">
        <f>COUNTIFS(#REF!, "m",#REF!, "severely stunted",#REF!, "*normal*",#REF!, "*1*")
+COUNTIFS(#REF!, "m",#REF!, "severely stunted",#REF!,  "overweigth",#REF!, "*1*")
+COUNTIFS(#REF!, "m",#REF!, "stunted",#REF!, "*normal*",#REF!, "*1*")
+COUNTIFS(#REF!, "m",#REF!, "stunted",#REF!,  "overweigth",#REF!, "*1*")</f>
        <v>#REF!</v>
      </c>
      <c r="M17" s="16" t="e">
        <f>COUNTIFS(#REF!, "m",#REF!, "*1*",#REF!, "*normal*",#REF!, "*normal*",#REF!, "yes",#REF!, "no")
+COUNTIFS(#REF!, "m",#REF!, "*1*",#REF!, "*normal*",#REF!,  "tall",#REF!, "yes",#REF!, "no")</f>
        <v>#REF!</v>
      </c>
      <c r="N17" s="16" t="e">
        <f>COUNTIFS(#REF!, "m",#REF!, "*1*",#REF!, "*normal*",#REF!, "*normal*",#REF!, "no",#REF!, "yes")
+COUNTIFS(#REF!, "m",#REF!, "*1*",#REF!, "*normal*",#REF!,  "tall",#REF!, "no",#REF!, "yes")</f>
        <v>#REF!</v>
      </c>
      <c r="O17" s="19">
        <v>0</v>
      </c>
      <c r="P17" s="16">
        <v>0</v>
      </c>
      <c r="Q17" s="16">
        <v>0</v>
      </c>
      <c r="R17" s="16">
        <v>0</v>
      </c>
      <c r="S17" s="20"/>
      <c r="U17" s="32" t="e">
        <f t="shared" si="0"/>
        <v>#REF!</v>
      </c>
      <c r="V17" s="21" t="e">
        <f t="shared" si="1"/>
        <v>#REF!</v>
      </c>
    </row>
    <row r="18" spans="1:22" ht="19.5" customHeight="1" x14ac:dyDescent="0.35">
      <c r="A18" s="92"/>
      <c r="B18" s="16" t="s">
        <v>19</v>
      </c>
      <c r="C18" s="19" t="e">
        <f>COUNTIFS(#REF!, "f",#REF!, "*severely wasted*",#REF!, "*1*")</f>
        <v>#REF!</v>
      </c>
      <c r="D18" s="19" t="e">
        <f>COUNTIFS(#REF!, "f",#REF!, "wasted",#REF!, "*1*")</f>
        <v>#REF!</v>
      </c>
      <c r="E18" s="19" t="e">
        <f>COUNTIFS(#REF!, "f",#REF!, "*normal*",#REF!, "*1*")</f>
        <v>#REF!</v>
      </c>
      <c r="F18" s="19" t="e">
        <f>COUNTIFS(#REF!, "f",#REF!, "overweight",#REF!, "*1*")</f>
        <v>#REF!</v>
      </c>
      <c r="G18" s="16" t="e">
        <f>COUNTIFS(#REF!, "f",#REF!, "severely stunted",#REF!, "*1*")</f>
        <v>#REF!</v>
      </c>
      <c r="H18" s="19" t="e">
        <f>COUNTIFS(#REF!, "f",#REF!, "stunted",#REF!, "*1*")</f>
        <v>#REF!</v>
      </c>
      <c r="I18" s="19" t="e">
        <f>COUNTIFS(#REF!, "f",#REF!, "*normal*",#REF!, "*1*")</f>
        <v>#REF!</v>
      </c>
      <c r="J18" s="16" t="e">
        <f>COUNTIFS(#REF!, "f",#REF!, "tall",#REF!, "*1*")</f>
        <v>#REF!</v>
      </c>
      <c r="K18" s="16">
        <v>0</v>
      </c>
      <c r="L18" s="19" t="e">
        <f>COUNTIFS(#REF!, "f",#REF!, "severely stunted",#REF!, "*normal*",#REF!, "*1*")
+COUNTIFS(#REF!, "f",#REF!, "severely stunted",#REF!,  "overweigth",#REF!, "*1*")
+COUNTIFS(#REF!, "f",#REF!, "stunted",#REF!, "*normal*",#REF!, "*1*")
+COUNTIFS(#REF!, "f",#REF!, "stunted",#REF!,  "overweigth",#REF!, "*1*")</f>
        <v>#REF!</v>
      </c>
      <c r="M18" s="16" t="e">
        <f>COUNTIFS(#REF!, "f",#REF!, "*1*",#REF!, "*normal*",#REF!, "*normal*",#REF!, "yes",#REF!, "no")
+COUNTIFS(#REF!, "f",#REF!, "*1*",#REF!, "*normal*",#REF!,  "tall",#REF!, "yes",#REF!, "no")</f>
        <v>#REF!</v>
      </c>
      <c r="N18" s="16" t="e">
        <f>COUNTIFS(#REF!, "f",#REF!, "*1*",#REF!, "*normal*",#REF!, "*normal*",#REF!, "no",#REF!, "yes")
+COUNTIFS(#REF!, "f",#REF!, "*1*",#REF!, "*normal*",#REF!,  "tall",#REF!, "no",#REF!, "yes")</f>
        <v>#REF!</v>
      </c>
      <c r="O18" s="19">
        <v>0</v>
      </c>
      <c r="P18" s="16">
        <v>0</v>
      </c>
      <c r="Q18" s="16">
        <v>0</v>
      </c>
      <c r="R18" s="16">
        <v>0</v>
      </c>
      <c r="S18" s="20"/>
      <c r="U18" s="32" t="e">
        <f t="shared" si="0"/>
        <v>#REF!</v>
      </c>
      <c r="V18" s="21" t="e">
        <f t="shared" si="1"/>
        <v>#REF!</v>
      </c>
    </row>
    <row r="19" spans="1:22" ht="19.5" customHeight="1" x14ac:dyDescent="0.35">
      <c r="A19" s="93"/>
      <c r="B19" s="16" t="s">
        <v>36</v>
      </c>
      <c r="C19" s="23" t="e">
        <f t="shared" ref="C19:R19" si="3">SUM(C17,C18)</f>
        <v>#REF!</v>
      </c>
      <c r="D19" s="23" t="e">
        <f t="shared" si="3"/>
        <v>#REF!</v>
      </c>
      <c r="E19" s="23" t="e">
        <f t="shared" si="3"/>
        <v>#REF!</v>
      </c>
      <c r="F19" s="23" t="e">
        <f t="shared" si="3"/>
        <v>#REF!</v>
      </c>
      <c r="G19" s="23" t="e">
        <f t="shared" si="3"/>
        <v>#REF!</v>
      </c>
      <c r="H19" s="23" t="e">
        <f t="shared" si="3"/>
        <v>#REF!</v>
      </c>
      <c r="I19" s="23" t="e">
        <f t="shared" si="3"/>
        <v>#REF!</v>
      </c>
      <c r="J19" s="23" t="e">
        <f t="shared" si="3"/>
        <v>#REF!</v>
      </c>
      <c r="K19" s="23">
        <f t="shared" si="3"/>
        <v>0</v>
      </c>
      <c r="L19" s="23" t="e">
        <f t="shared" si="3"/>
        <v>#REF!</v>
      </c>
      <c r="M19" s="23" t="e">
        <f t="shared" si="3"/>
        <v>#REF!</v>
      </c>
      <c r="N19" s="23" t="e">
        <f t="shared" si="3"/>
        <v>#REF!</v>
      </c>
      <c r="O19" s="23">
        <f t="shared" si="3"/>
        <v>0</v>
      </c>
      <c r="P19" s="23">
        <f t="shared" si="3"/>
        <v>0</v>
      </c>
      <c r="Q19" s="23">
        <f t="shared" si="3"/>
        <v>0</v>
      </c>
      <c r="R19" s="23">
        <f t="shared" si="3"/>
        <v>0</v>
      </c>
      <c r="S19" s="20"/>
      <c r="U19" s="32" t="e">
        <f t="shared" si="0"/>
        <v>#REF!</v>
      </c>
      <c r="V19" s="21" t="e">
        <f t="shared" si="1"/>
        <v>#REF!</v>
      </c>
    </row>
    <row r="20" spans="1:22" ht="19.5" customHeight="1" x14ac:dyDescent="0.35">
      <c r="A20" s="91" t="s">
        <v>68</v>
      </c>
      <c r="B20" s="16" t="s">
        <v>17</v>
      </c>
      <c r="C20" s="16" t="e">
        <f>COUNTIFS(#REF!, "m",#REF!, "*severely wasted*",#REF!, "*2*")</f>
        <v>#REF!</v>
      </c>
      <c r="D20" s="19" t="e">
        <f>COUNTIFS(#REF!, "m",#REF!, "wasted",#REF!, "*2*")</f>
        <v>#REF!</v>
      </c>
      <c r="E20" s="19" t="e">
        <f>COUNTIFS(#REF!, "m",#REF!, "*normal*",#REF!, "*2*")</f>
        <v>#REF!</v>
      </c>
      <c r="F20" s="16" t="e">
        <f>COUNTIFS(#REF!, "m",#REF!, "overweight",#REF!, "*2*")</f>
        <v>#REF!</v>
      </c>
      <c r="G20" s="19" t="e">
        <f>COUNTIFS(#REF!, "m",#REF!, "severely stunted",#REF!, "*2*")</f>
        <v>#REF!</v>
      </c>
      <c r="H20" s="19" t="e">
        <f>COUNTIFS(#REF!, "m",#REF!, "stunted",#REF!, "*2*")</f>
        <v>#REF!</v>
      </c>
      <c r="I20" s="19" t="e">
        <f>COUNTIFS(#REF!, "m",#REF!, "*normal*",#REF!, "*2*")</f>
        <v>#REF!</v>
      </c>
      <c r="J20" s="16" t="e">
        <f>COUNTIFS(#REF!, "m",#REF!, "tall",#REF!, "*2*")</f>
        <v>#REF!</v>
      </c>
      <c r="K20" s="16">
        <v>0</v>
      </c>
      <c r="L20" s="19" t="e">
        <f>COUNTIFS(#REF!, "m",#REF!, "severely stunted",#REF!, "*normal*",#REF!, "*2*")
+COUNTIFS(#REF!, "m",#REF!, "severely stunted",#REF!,  "overweigth",#REF!, "*2*")
+COUNTIFS(#REF!, "m",#REF!, "stunted",#REF!, "*normal*",#REF!, "*2*")
+COUNTIFS(#REF!, "m",#REF!, "stunted",#REF!,  "overweigth",#REF!, "*2*")</f>
        <v>#REF!</v>
      </c>
      <c r="M20" s="16" t="e">
        <f>COUNTIFS(#REF!, "m",#REF!, "*2*",#REF!, "*normal*",#REF!, "*normal*",#REF!, "yes",#REF!, "no")
+COUNTIFS(#REF!, "m",#REF!, "*2*",#REF!, "*normal*",#REF!,  "tall",#REF!, "yes",#REF!, "no")</f>
        <v>#REF!</v>
      </c>
      <c r="N20" s="16" t="e">
        <f>COUNTIFS(#REF!, "m",#REF!, "*2*",#REF!, "*normal*",#REF!, "*normal*",#REF!, "no",#REF!, "yes")
+COUNTIFS(#REF!, "m",#REF!, "*2*",#REF!, "*normal*",#REF!,  "tall",#REF!, "no",#REF!, "yes")</f>
        <v>#REF!</v>
      </c>
      <c r="O20" s="19">
        <v>0</v>
      </c>
      <c r="P20" s="16">
        <v>0</v>
      </c>
      <c r="Q20" s="16">
        <v>0</v>
      </c>
      <c r="R20" s="16">
        <v>0</v>
      </c>
      <c r="S20" s="20"/>
      <c r="U20" s="32" t="e">
        <f t="shared" si="0"/>
        <v>#REF!</v>
      </c>
      <c r="V20" s="21" t="e">
        <f t="shared" si="1"/>
        <v>#REF!</v>
      </c>
    </row>
    <row r="21" spans="1:22" ht="19.5" customHeight="1" x14ac:dyDescent="0.35">
      <c r="A21" s="92"/>
      <c r="B21" s="16" t="s">
        <v>19</v>
      </c>
      <c r="C21" s="16" t="e">
        <f>COUNTIFS(#REF!, "f",#REF!, "*severely wasted*",#REF!, "*2*")</f>
        <v>#REF!</v>
      </c>
      <c r="D21" s="19" t="e">
        <f>COUNTIFS(#REF!, "f",#REF!, "wasted",#REF!, "*2*")</f>
        <v>#REF!</v>
      </c>
      <c r="E21" s="19" t="e">
        <f>COUNTIFS(#REF!, "f",#REF!, "*normal*",#REF!, "*2*")</f>
        <v>#REF!</v>
      </c>
      <c r="F21" s="16" t="e">
        <f>COUNTIFS(#REF!, "f",#REF!, "overweight",#REF!, "*2*")</f>
        <v>#REF!</v>
      </c>
      <c r="G21" s="16" t="e">
        <f>COUNTIFS(#REF!, "f",#REF!, "severely stunted",#REF!, "*2*")</f>
        <v>#REF!</v>
      </c>
      <c r="H21" s="19" t="e">
        <f>COUNTIFS(#REF!, "f",#REF!, "stunted",#REF!, "*2*")</f>
        <v>#REF!</v>
      </c>
      <c r="I21" s="19" t="e">
        <f>COUNTIFS(#REF!, "f",#REF!, "*normal*",#REF!, "*2*")</f>
        <v>#REF!</v>
      </c>
      <c r="J21" s="16" t="e">
        <f>COUNTIFS(#REF!, "f",#REF!, "tall",#REF!, "*2*")</f>
        <v>#REF!</v>
      </c>
      <c r="K21" s="16">
        <v>0</v>
      </c>
      <c r="L21" s="19" t="e">
        <f>COUNTIFS(#REF!, "f",#REF!, "severely stunted",#REF!, "*normal*",#REF!, "*2*")
+COUNTIFS(#REF!, "f",#REF!, "severely stunted",#REF!,  "overweigth",#REF!, "*2*")
+COUNTIFS(#REF!, "f",#REF!, "stunted",#REF!, "*normal*",#REF!, "*2*")
+COUNTIFS(#REF!, "f",#REF!, "stunted",#REF!,  "overweigth",#REF!, "*2*")</f>
        <v>#REF!</v>
      </c>
      <c r="M21" s="16" t="e">
        <f>COUNTIFS(#REF!, "f",#REF!, "*2*",#REF!, "*normal*",#REF!, "*normal*",#REF!, "yes",#REF!, "no")
+COUNTIFS(#REF!, "f",#REF!, "*2*",#REF!, "*normal*",#REF!,  "tall",#REF!, "yes",#REF!, "no")</f>
        <v>#REF!</v>
      </c>
      <c r="N21" s="16" t="e">
        <f>COUNTIFS(#REF!, "f",#REF!, "*2*",#REF!, "*normal*",#REF!, "*normal*",#REF!, "no",#REF!, "yes")
+COUNTIFS(#REF!, "f",#REF!, "*2*",#REF!, "*normal*",#REF!,  "tall",#REF!, "no",#REF!, "yes")</f>
        <v>#REF!</v>
      </c>
      <c r="O21" s="19">
        <v>0</v>
      </c>
      <c r="P21" s="16">
        <v>0</v>
      </c>
      <c r="Q21" s="16">
        <v>0</v>
      </c>
      <c r="R21" s="16">
        <v>0</v>
      </c>
      <c r="S21" s="20"/>
      <c r="U21" s="32" t="e">
        <f t="shared" si="0"/>
        <v>#REF!</v>
      </c>
      <c r="V21" s="21" t="e">
        <f t="shared" si="1"/>
        <v>#REF!</v>
      </c>
    </row>
    <row r="22" spans="1:22" ht="19.5" customHeight="1" x14ac:dyDescent="0.35">
      <c r="A22" s="93"/>
      <c r="B22" s="16" t="s">
        <v>36</v>
      </c>
      <c r="C22" s="22" t="e">
        <f t="shared" ref="C22:R22" si="4">SUM(C20,C21)</f>
        <v>#REF!</v>
      </c>
      <c r="D22" s="22" t="e">
        <f t="shared" si="4"/>
        <v>#REF!</v>
      </c>
      <c r="E22" s="22" t="e">
        <f t="shared" si="4"/>
        <v>#REF!</v>
      </c>
      <c r="F22" s="22" t="e">
        <f t="shared" si="4"/>
        <v>#REF!</v>
      </c>
      <c r="G22" s="22" t="e">
        <f t="shared" si="4"/>
        <v>#REF!</v>
      </c>
      <c r="H22" s="22" t="e">
        <f t="shared" si="4"/>
        <v>#REF!</v>
      </c>
      <c r="I22" s="22" t="e">
        <f t="shared" si="4"/>
        <v>#REF!</v>
      </c>
      <c r="J22" s="22" t="e">
        <f t="shared" si="4"/>
        <v>#REF!</v>
      </c>
      <c r="K22" s="22">
        <f t="shared" si="4"/>
        <v>0</v>
      </c>
      <c r="L22" s="22" t="e">
        <f t="shared" si="4"/>
        <v>#REF!</v>
      </c>
      <c r="M22" s="22" t="e">
        <f t="shared" si="4"/>
        <v>#REF!</v>
      </c>
      <c r="N22" s="22" t="e">
        <f t="shared" si="4"/>
        <v>#REF!</v>
      </c>
      <c r="O22" s="22">
        <f t="shared" si="4"/>
        <v>0</v>
      </c>
      <c r="P22" s="22">
        <f t="shared" si="4"/>
        <v>0</v>
      </c>
      <c r="Q22" s="22">
        <f t="shared" si="4"/>
        <v>0</v>
      </c>
      <c r="R22" s="22">
        <f t="shared" si="4"/>
        <v>0</v>
      </c>
      <c r="S22" s="20"/>
      <c r="U22" s="32" t="e">
        <f t="shared" si="0"/>
        <v>#REF!</v>
      </c>
      <c r="V22" s="21" t="e">
        <f t="shared" si="1"/>
        <v>#REF!</v>
      </c>
    </row>
    <row r="23" spans="1:22" ht="19.5" customHeight="1" x14ac:dyDescent="0.35">
      <c r="A23" s="91" t="s">
        <v>69</v>
      </c>
      <c r="B23" s="16" t="s">
        <v>17</v>
      </c>
      <c r="C23" s="19" t="e">
        <f>COUNTIFS(#REF!, "m",#REF!, "*severely wasted*",#REF!, "*3*")</f>
        <v>#REF!</v>
      </c>
      <c r="D23" s="19" t="e">
        <f>COUNTIFS(#REF!, "m",#REF!, "wasted",#REF!, "*3*")</f>
        <v>#REF!</v>
      </c>
      <c r="E23" s="19" t="e">
        <f>COUNTIFS(#REF!, "m",#REF!, "*normal*",#REF!, "*3*")</f>
        <v>#REF!</v>
      </c>
      <c r="F23" s="16" t="e">
        <f>COUNTIFS(#REF!, "m",#REF!, "overweight",#REF!, "*3*")</f>
        <v>#REF!</v>
      </c>
      <c r="G23" s="19" t="e">
        <f>COUNTIFS(#REF!, "m",#REF!, "severely stunted",#REF!, "*3*")</f>
        <v>#REF!</v>
      </c>
      <c r="H23" s="19" t="e">
        <f>COUNTIFS(#REF!, "m",#REF!, "stunted",#REF!, "*3*")</f>
        <v>#REF!</v>
      </c>
      <c r="I23" s="19" t="e">
        <f>COUNTIFS(#REF!, "m",#REF!, "*normal*",#REF!, "*3*")</f>
        <v>#REF!</v>
      </c>
      <c r="J23" s="16" t="e">
        <f>COUNTIFS(#REF!, "m",#REF!, "tall",#REF!, "*3*")</f>
        <v>#REF!</v>
      </c>
      <c r="K23" s="16">
        <v>0</v>
      </c>
      <c r="L23" s="19" t="e">
        <f>COUNTIFS(#REF!, "m",#REF!, "severely stunted",#REF!, "*normal*",#REF!, "*3*")
+COUNTIFS(#REF!, "m",#REF!, "severely stunted",#REF!,  "overweigth",#REF!, "*3*")
+COUNTIFS(#REF!, "m",#REF!, "stunted",#REF!, "*normal*",#REF!, "*3*")
+COUNTIFS(#REF!, "m",#REF!, "stunted",#REF!,  "overweigth",#REF!, "*3*")</f>
        <v>#REF!</v>
      </c>
      <c r="M23" s="16" t="e">
        <f>COUNTIFS(#REF!, "m",#REF!, "*3*",#REF!, "*normal*",#REF!, "*normal*",#REF!, "yes",#REF!, "no")
+COUNTIFS(#REF!, "m",#REF!, "*3*",#REF!, "*normal*",#REF!,  "tall",#REF!, "yes",#REF!, "no")</f>
        <v>#REF!</v>
      </c>
      <c r="N23" s="16" t="e">
        <f>COUNTIFS(#REF!, "m",#REF!, "*3*",#REF!, "*normal*",#REF!, "*normal*",#REF!, "no",#REF!, "yes")
+COUNTIFS(#REF!, "m",#REF!, "*3*",#REF!, "*normal*",#REF!,  "tall",#REF!, "no",#REF!, "yes")</f>
        <v>#REF!</v>
      </c>
      <c r="O23" s="19">
        <v>0</v>
      </c>
      <c r="P23" s="16">
        <v>0</v>
      </c>
      <c r="Q23" s="16">
        <v>0</v>
      </c>
      <c r="R23" s="16">
        <v>0</v>
      </c>
      <c r="S23" s="20"/>
      <c r="U23" s="32" t="e">
        <f t="shared" si="0"/>
        <v>#REF!</v>
      </c>
      <c r="V23" s="21" t="e">
        <f t="shared" si="1"/>
        <v>#REF!</v>
      </c>
    </row>
    <row r="24" spans="1:22" ht="19.5" customHeight="1" x14ac:dyDescent="0.35">
      <c r="A24" s="92"/>
      <c r="B24" s="16" t="s">
        <v>19</v>
      </c>
      <c r="C24" s="16" t="e">
        <f>COUNTIFS(#REF!, "f",#REF!, "*severely wasted*",#REF!, "*3*")</f>
        <v>#REF!</v>
      </c>
      <c r="D24" s="19" t="e">
        <f>COUNTIFS(#REF!, "f",#REF!, "wasted",#REF!, "*3*")</f>
        <v>#REF!</v>
      </c>
      <c r="E24" s="19" t="e">
        <f>COUNTIFS(#REF!, "f",#REF!, "*normal*",#REF!, "*3*")</f>
        <v>#REF!</v>
      </c>
      <c r="F24" s="16" t="e">
        <f>COUNTIFS(#REF!, "f",#REF!, "overweight",#REF!, "*3*")</f>
        <v>#REF!</v>
      </c>
      <c r="G24" s="19" t="e">
        <f>COUNTIFS(#REF!, "f",#REF!, "severely stunted",#REF!, "*3*")</f>
        <v>#REF!</v>
      </c>
      <c r="H24" s="19" t="e">
        <f>COUNTIFS(#REF!, "f",#REF!, "stunted",#REF!, "*3*")</f>
        <v>#REF!</v>
      </c>
      <c r="I24" s="19" t="e">
        <f>COUNTIFS(#REF!, "f",#REF!, "*normal*",#REF!, "*3*")</f>
        <v>#REF!</v>
      </c>
      <c r="J24" s="16" t="e">
        <f>COUNTIFS(#REF!, "f",#REF!, "tall",#REF!, "*3*")</f>
        <v>#REF!</v>
      </c>
      <c r="K24" s="16">
        <v>0</v>
      </c>
      <c r="L24" s="19" t="e">
        <f>COUNTIFS(#REF!, "f",#REF!, "severely stunted",#REF!, "*normal*",#REF!, "*3*")
+COUNTIFS(#REF!, "f",#REF!, "severely stunted",#REF!,  "overweigth",#REF!, "*3*")
+COUNTIFS(#REF!, "f",#REF!, "stunted",#REF!, "*normal*",#REF!, "*3*")
+COUNTIFS(#REF!, "f",#REF!, "stunted",#REF!,  "overweigth",#REF!, "*3*")</f>
        <v>#REF!</v>
      </c>
      <c r="M24" s="16" t="e">
        <f>COUNTIFS(#REF!, "f",#REF!, "*3*",#REF!, "*normal*",#REF!, "*normal*",#REF!, "yes",#REF!, "no")
+COUNTIFS(#REF!, "f",#REF!, "*3*",#REF!, "*normal*",#REF!,  "tall",#REF!, "yes",#REF!, "no")</f>
        <v>#REF!</v>
      </c>
      <c r="N24" s="16" t="e">
        <f>COUNTIFS(#REF!, "f",#REF!, "*3*",#REF!, "*normal*",#REF!, "*normal*",#REF!, "no",#REF!, "yes")
+COUNTIFS(#REF!, "f",#REF!, "*3*",#REF!, "*normal*",#REF!,  "tall",#REF!, "no",#REF!, "yes")</f>
        <v>#REF!</v>
      </c>
      <c r="O24" s="19">
        <v>0</v>
      </c>
      <c r="P24" s="16">
        <v>0</v>
      </c>
      <c r="Q24" s="16">
        <v>0</v>
      </c>
      <c r="R24" s="16">
        <v>0</v>
      </c>
      <c r="S24" s="20"/>
      <c r="U24" s="32" t="e">
        <f t="shared" si="0"/>
        <v>#REF!</v>
      </c>
      <c r="V24" s="21" t="e">
        <f t="shared" si="1"/>
        <v>#REF!</v>
      </c>
    </row>
    <row r="25" spans="1:22" ht="19.5" customHeight="1" x14ac:dyDescent="0.35">
      <c r="A25" s="93"/>
      <c r="B25" s="16" t="s">
        <v>36</v>
      </c>
      <c r="C25" s="22" t="e">
        <f t="shared" ref="C25:R25" si="5">SUM(C23,C24)</f>
        <v>#REF!</v>
      </c>
      <c r="D25" s="22" t="e">
        <f t="shared" si="5"/>
        <v>#REF!</v>
      </c>
      <c r="E25" s="22" t="e">
        <f t="shared" si="5"/>
        <v>#REF!</v>
      </c>
      <c r="F25" s="22" t="e">
        <f t="shared" si="5"/>
        <v>#REF!</v>
      </c>
      <c r="G25" s="22" t="e">
        <f t="shared" si="5"/>
        <v>#REF!</v>
      </c>
      <c r="H25" s="22" t="e">
        <f t="shared" si="5"/>
        <v>#REF!</v>
      </c>
      <c r="I25" s="22" t="e">
        <f t="shared" si="5"/>
        <v>#REF!</v>
      </c>
      <c r="J25" s="22" t="e">
        <f t="shared" si="5"/>
        <v>#REF!</v>
      </c>
      <c r="K25" s="22">
        <f t="shared" si="5"/>
        <v>0</v>
      </c>
      <c r="L25" s="22" t="e">
        <f t="shared" si="5"/>
        <v>#REF!</v>
      </c>
      <c r="M25" s="22" t="e">
        <f t="shared" si="5"/>
        <v>#REF!</v>
      </c>
      <c r="N25" s="22" t="e">
        <f t="shared" si="5"/>
        <v>#REF!</v>
      </c>
      <c r="O25" s="22">
        <f t="shared" si="5"/>
        <v>0</v>
      </c>
      <c r="P25" s="22">
        <f t="shared" si="5"/>
        <v>0</v>
      </c>
      <c r="Q25" s="22">
        <f t="shared" si="5"/>
        <v>0</v>
      </c>
      <c r="R25" s="22">
        <f t="shared" si="5"/>
        <v>0</v>
      </c>
      <c r="S25" s="20"/>
      <c r="U25" s="32" t="e">
        <f t="shared" si="0"/>
        <v>#REF!</v>
      </c>
      <c r="V25" s="21" t="e">
        <f t="shared" si="1"/>
        <v>#REF!</v>
      </c>
    </row>
    <row r="26" spans="1:22" ht="19.5" customHeight="1" x14ac:dyDescent="0.35">
      <c r="A26" s="91" t="s">
        <v>70</v>
      </c>
      <c r="B26" s="16" t="s">
        <v>17</v>
      </c>
      <c r="C26" s="16" t="e">
        <f>COUNTIFS(#REF!, "m",#REF!, "*severely wasted*",#REF!, "*4*")</f>
        <v>#REF!</v>
      </c>
      <c r="D26" s="16" t="e">
        <f>COUNTIFS(#REF!, "m",#REF!, "wasted",#REF!, "*4*")</f>
        <v>#REF!</v>
      </c>
      <c r="E26" s="16" t="e">
        <f>COUNTIFS(#REF!, "m",#REF!, "*normal*",#REF!, "*4*")</f>
        <v>#REF!</v>
      </c>
      <c r="F26" s="16" t="e">
        <f>COUNTIFS(#REF!, "m",#REF!, "overweight",#REF!, "*4*")</f>
        <v>#REF!</v>
      </c>
      <c r="G26" s="16" t="e">
        <f>COUNTIFS(#REF!, "m",#REF!, "severely stunted",#REF!, "*4*")</f>
        <v>#REF!</v>
      </c>
      <c r="H26" s="16" t="e">
        <f>COUNTIFS(#REF!, "m",#REF!, "stunted",#REF!, "*4*")</f>
        <v>#REF!</v>
      </c>
      <c r="I26" s="16" t="e">
        <f>COUNTIFS(#REF!, "m",#REF!, "*normal*",#REF!, "*4*")</f>
        <v>#REF!</v>
      </c>
      <c r="J26" s="16" t="e">
        <f>COUNTIFS(#REF!, "m",#REF!, "tall",#REF!, "*4*")</f>
        <v>#REF!</v>
      </c>
      <c r="K26" s="16">
        <v>0</v>
      </c>
      <c r="L26" s="16" t="e">
        <f>COUNTIFS(#REF!, "m",#REF!, "severely stunted",#REF!, "*normal*",#REF!, "*4*")
+COUNTIFS(#REF!, "m",#REF!, "severely stunted",#REF!,  "overweigth",#REF!, "*4*")
+COUNTIFS(#REF!, "m",#REF!, "stunted",#REF!, "*normal*",#REF!, "*4*")
+COUNTIFS(#REF!, "m",#REF!, "stunted",#REF!,  "overweigth",#REF!, "*4*")</f>
        <v>#REF!</v>
      </c>
      <c r="M26" s="16" t="e">
        <f>COUNTIFS(#REF!, "m",#REF!, "*4*",#REF!, "*normal*",#REF!, "*normal*",#REF!, "yes",#REF!, "no")
+COUNTIFS(#REF!, "m",#REF!, "*4*",#REF!, "*normal*",#REF!,  "tall",#REF!, "yes",#REF!, "no")</f>
        <v>#REF!</v>
      </c>
      <c r="N26" s="16" t="e">
        <f>COUNTIFS(#REF!, "m",#REF!, "*1*",#REF!, "*normal*",#REF!, "*normal*",#REF!, "no",#REF!, "yes")
+COUNTIFS(#REF!, "m",#REF!, "*1*",#REF!, "*normal*",#REF!,  "tall",#REF!, "no",#REF!, "yes")</f>
        <v>#REF!</v>
      </c>
      <c r="O26" s="16">
        <v>0</v>
      </c>
      <c r="P26" s="16">
        <v>0</v>
      </c>
      <c r="Q26" s="16">
        <v>0</v>
      </c>
      <c r="R26" s="16">
        <v>0</v>
      </c>
      <c r="S26" s="20"/>
      <c r="U26" s="32" t="e">
        <f t="shared" si="0"/>
        <v>#REF!</v>
      </c>
      <c r="V26" s="21" t="e">
        <f t="shared" si="1"/>
        <v>#REF!</v>
      </c>
    </row>
    <row r="27" spans="1:22" ht="19.5" customHeight="1" x14ac:dyDescent="0.35">
      <c r="A27" s="92"/>
      <c r="B27" s="16" t="s">
        <v>19</v>
      </c>
      <c r="C27" s="16" t="e">
        <f>COUNTIFS(#REF!, "f",#REF!, "*severely wasted*",#REF!, "*4*")</f>
        <v>#REF!</v>
      </c>
      <c r="D27" s="16" t="e">
        <f>COUNTIFS(#REF!, "f",#REF!, "wasted",#REF!, "*4*")</f>
        <v>#REF!</v>
      </c>
      <c r="E27" s="16" t="e">
        <f>COUNTIFS(#REF!, "f",#REF!, "*normal*",#REF!, "*4*")</f>
        <v>#REF!</v>
      </c>
      <c r="F27" s="16" t="e">
        <f>COUNTIFS(#REF!, "f",#REF!, "overweight",#REF!, "*4*")</f>
        <v>#REF!</v>
      </c>
      <c r="G27" s="16" t="e">
        <f>COUNTIFS(#REF!, "f",#REF!, "severely stunted",#REF!, "*4*")</f>
        <v>#REF!</v>
      </c>
      <c r="H27" s="16" t="e">
        <f>COUNTIFS(#REF!, "f",#REF!, "stunted",#REF!, "*4*")</f>
        <v>#REF!</v>
      </c>
      <c r="I27" s="16" t="e">
        <f>COUNTIFS(#REF!, "f",#REF!, "*normal*",#REF!, "*4*")</f>
        <v>#REF!</v>
      </c>
      <c r="J27" s="16" t="e">
        <f>COUNTIFS(#REF!, "f",#REF!, "tall",#REF!, "*4*")</f>
        <v>#REF!</v>
      </c>
      <c r="K27" s="16">
        <v>0</v>
      </c>
      <c r="L27" s="16" t="e">
        <f>COUNTIFS(#REF!, "f",#REF!, "severely stunted",#REF!, "*normal*",#REF!, "*4*")
+COUNTIFS(#REF!, "f",#REF!, "severely stunted",#REF!,  "overweigth",#REF!, "*4*")
+COUNTIFS(#REF!, "f",#REF!, "stunted",#REF!, "*normal*",#REF!, "*4*")
+COUNTIFS(#REF!, "f",#REF!, "stunted",#REF!,  "overweigth",#REF!, "*4*")</f>
        <v>#REF!</v>
      </c>
      <c r="M27" s="16" t="e">
        <f>COUNTIFS(#REF!, "f",#REF!, "*4*",#REF!, "*normal*",#REF!, "*normal*",#REF!, "yes",#REF!, "no")
+COUNTIFS(#REF!, "f",#REF!, "*4*",#REF!, "*normal*",#REF!,  "tall",#REF!, "yes",#REF!, "no")</f>
        <v>#REF!</v>
      </c>
      <c r="N27" s="16" t="e">
        <f>COUNTIFS(#REF!, "f",#REF!, "*1*",#REF!, "*normal*",#REF!, "*normal*",#REF!, "no",#REF!, "yes")
+COUNTIFS(#REF!, "f",#REF!, "*1*",#REF!, "*normal*",#REF!,  "tall",#REF!, "no",#REF!, "yes")</f>
        <v>#REF!</v>
      </c>
      <c r="O27" s="16">
        <v>0</v>
      </c>
      <c r="P27" s="16">
        <v>0</v>
      </c>
      <c r="Q27" s="16">
        <v>0</v>
      </c>
      <c r="R27" s="16">
        <v>0</v>
      </c>
      <c r="S27" s="20"/>
      <c r="U27" s="32" t="e">
        <f t="shared" si="0"/>
        <v>#REF!</v>
      </c>
      <c r="V27" s="21" t="e">
        <f t="shared" si="1"/>
        <v>#REF!</v>
      </c>
    </row>
    <row r="28" spans="1:22" ht="19.5" customHeight="1" x14ac:dyDescent="0.35">
      <c r="A28" s="93"/>
      <c r="B28" s="16" t="s">
        <v>36</v>
      </c>
      <c r="C28" s="22" t="e">
        <f t="shared" ref="C28:R28" si="6">SUM(C26,C27)</f>
        <v>#REF!</v>
      </c>
      <c r="D28" s="22" t="e">
        <f t="shared" si="6"/>
        <v>#REF!</v>
      </c>
      <c r="E28" s="22" t="e">
        <f t="shared" si="6"/>
        <v>#REF!</v>
      </c>
      <c r="F28" s="22" t="e">
        <f t="shared" si="6"/>
        <v>#REF!</v>
      </c>
      <c r="G28" s="22" t="e">
        <f t="shared" si="6"/>
        <v>#REF!</v>
      </c>
      <c r="H28" s="22" t="e">
        <f t="shared" si="6"/>
        <v>#REF!</v>
      </c>
      <c r="I28" s="22" t="e">
        <f t="shared" si="6"/>
        <v>#REF!</v>
      </c>
      <c r="J28" s="22" t="e">
        <f t="shared" si="6"/>
        <v>#REF!</v>
      </c>
      <c r="K28" s="22">
        <f t="shared" si="6"/>
        <v>0</v>
      </c>
      <c r="L28" s="22" t="e">
        <f t="shared" si="6"/>
        <v>#REF!</v>
      </c>
      <c r="M28" s="22" t="e">
        <f t="shared" si="6"/>
        <v>#REF!</v>
      </c>
      <c r="N28" s="22" t="e">
        <f t="shared" si="6"/>
        <v>#REF!</v>
      </c>
      <c r="O28" s="22">
        <f t="shared" si="6"/>
        <v>0</v>
      </c>
      <c r="P28" s="22">
        <f t="shared" si="6"/>
        <v>0</v>
      </c>
      <c r="Q28" s="22">
        <f t="shared" si="6"/>
        <v>0</v>
      </c>
      <c r="R28" s="22">
        <f t="shared" si="6"/>
        <v>0</v>
      </c>
      <c r="S28" s="20"/>
      <c r="U28" s="32" t="e">
        <f t="shared" si="0"/>
        <v>#REF!</v>
      </c>
      <c r="V28" s="21" t="e">
        <f t="shared" si="1"/>
        <v>#REF!</v>
      </c>
    </row>
    <row r="29" spans="1:22" ht="19.5" customHeight="1" x14ac:dyDescent="0.35">
      <c r="A29" s="91" t="s">
        <v>71</v>
      </c>
      <c r="B29" s="16" t="s">
        <v>17</v>
      </c>
      <c r="C29" s="16" t="e">
        <f>COUNTIFS(#REF!, "m",#REF!, "*severely wasted*",#REF!, "*5*")</f>
        <v>#REF!</v>
      </c>
      <c r="D29" s="16" t="e">
        <f>COUNTIFS(#REF!, "m",#REF!, "wasted",#REF!, "*5*")</f>
        <v>#REF!</v>
      </c>
      <c r="E29" s="16" t="e">
        <f>COUNTIFS(#REF!, "m",#REF!, "*normal*",#REF!, "*5*")</f>
        <v>#REF!</v>
      </c>
      <c r="F29" s="16" t="e">
        <f>COUNTIFS(#REF!, "m",#REF!, "overweight",#REF!, "*5*")</f>
        <v>#REF!</v>
      </c>
      <c r="G29" s="16" t="e">
        <f>COUNTIFS(#REF!, "m",#REF!, "severely stunted",#REF!, "*5*")</f>
        <v>#REF!</v>
      </c>
      <c r="H29" s="16" t="e">
        <f>COUNTIFS(#REF!, "m",#REF!, "stunted",#REF!, "*5*")</f>
        <v>#REF!</v>
      </c>
      <c r="I29" s="16" t="e">
        <f>COUNTIFS(#REF!, "m",#REF!, "*normal*",#REF!, "*5*")</f>
        <v>#REF!</v>
      </c>
      <c r="J29" s="16" t="e">
        <f>COUNTIFS(#REF!, "m",#REF!, "tall",#REF!, "*5*")</f>
        <v>#REF!</v>
      </c>
      <c r="K29" s="16">
        <v>0</v>
      </c>
      <c r="L29" s="16" t="e">
        <f>COUNTIFS(#REF!, "m",#REF!, "severely stunted",#REF!, "*normal*",#REF!, "*5*")
+COUNTIFS(#REF!, "m",#REF!, "severely stunted",#REF!,  "overweigth",#REF!, "*5*")
+COUNTIFS(#REF!, "m",#REF!, "stunted",#REF!, "*normal*",#REF!, "*5*")
+COUNTIFS(#REF!, "m",#REF!, "stunted",#REF!,  "overweigth",#REF!, "*5*")</f>
        <v>#REF!</v>
      </c>
      <c r="M29" s="16" t="e">
        <f>COUNTIFS(#REF!, "m",#REF!, "*5*",#REF!, "*normal*",#REF!, "*normal*",#REF!, "yes",#REF!, "no")
+COUNTIFS(#REF!, "m",#REF!, "*5*",#REF!, "*normal*",#REF!,  "tall",#REF!, "yes",#REF!, "no")</f>
        <v>#REF!</v>
      </c>
      <c r="N29" s="16" t="e">
        <f>COUNTIFS(#REF!, "m",#REF!, "*1*",#REF!, "*normal*",#REF!, "*normal*",#REF!, "no",#REF!, "yes")
+COUNTIFS(#REF!, "m",#REF!, "*1*",#REF!, "*normal*",#REF!,  "tall",#REF!, "no",#REF!, "yes")</f>
        <v>#REF!</v>
      </c>
      <c r="O29" s="16">
        <v>0</v>
      </c>
      <c r="P29" s="16">
        <v>0</v>
      </c>
      <c r="Q29" s="16">
        <v>0</v>
      </c>
      <c r="R29" s="16">
        <v>0</v>
      </c>
      <c r="S29" s="20"/>
      <c r="U29" s="32" t="e">
        <f t="shared" si="0"/>
        <v>#REF!</v>
      </c>
      <c r="V29" s="21" t="e">
        <f t="shared" si="1"/>
        <v>#REF!</v>
      </c>
    </row>
    <row r="30" spans="1:22" ht="19.5" customHeight="1" x14ac:dyDescent="0.35">
      <c r="A30" s="92"/>
      <c r="B30" s="16" t="s">
        <v>19</v>
      </c>
      <c r="C30" s="16" t="e">
        <f>COUNTIFS(#REF!, "f",#REF!, "*severely wasted*",#REF!, "*5*")</f>
        <v>#REF!</v>
      </c>
      <c r="D30" s="16" t="e">
        <f>COUNTIFS(#REF!, "f",#REF!, "wasted",#REF!, "*5*")</f>
        <v>#REF!</v>
      </c>
      <c r="E30" s="16" t="e">
        <f>COUNTIFS(#REF!, "f",#REF!, "*normal*",#REF!, "*5*")</f>
        <v>#REF!</v>
      </c>
      <c r="F30" s="16" t="e">
        <f>COUNTIFS(#REF!, "f",#REF!, "overweight",#REF!, "*5*")</f>
        <v>#REF!</v>
      </c>
      <c r="G30" s="16" t="e">
        <f>COUNTIFS(#REF!, "f",#REF!, "severely stunted",#REF!, "*5*")</f>
        <v>#REF!</v>
      </c>
      <c r="H30" s="16" t="e">
        <f>COUNTIFS(#REF!, "f",#REF!, "stunted",#REF!, "*5*")</f>
        <v>#REF!</v>
      </c>
      <c r="I30" s="16" t="e">
        <f>COUNTIFS(#REF!, "f",#REF!, "*normal*",#REF!, "*5*")</f>
        <v>#REF!</v>
      </c>
      <c r="J30" s="16" t="e">
        <f>COUNTIFS(#REF!, "f",#REF!, "tall",#REF!, "*5*")</f>
        <v>#REF!</v>
      </c>
      <c r="K30" s="16">
        <v>0</v>
      </c>
      <c r="L30" s="16" t="e">
        <f>COUNTIFS(#REF!, "f",#REF!, "severely stunted",#REF!, "*normal*",#REF!, "*5*")
+COUNTIFS(#REF!, "f",#REF!, "severely stunted",#REF!,  "overweigth",#REF!, "*5*")
+COUNTIFS(#REF!, "f",#REF!, "stunted",#REF!, "*normal*",#REF!, "*5*")
+COUNTIFS(#REF!, "f",#REF!, "stunted",#REF!,  "overweigth",#REF!, "*5*")</f>
        <v>#REF!</v>
      </c>
      <c r="M30" s="16" t="e">
        <f>COUNTIFS(#REF!, "f",#REF!, "*5*",#REF!, "*normal*",#REF!, "*normal*",#REF!, "yes",#REF!, "no")
+COUNTIFS(#REF!, "f",#REF!, "*5*",#REF!, "*normal*",#REF!,  "tall",#REF!, "yes",#REF!, "no")</f>
        <v>#REF!</v>
      </c>
      <c r="N30" s="16" t="e">
        <f>COUNTIFS(#REF!, "f",#REF!, "*1*",#REF!, "*normal*",#REF!, "*normal*",#REF!, "no",#REF!, "yes")
+COUNTIFS(#REF!, "f",#REF!, "*1*",#REF!, "*normal*",#REF!,  "tall",#REF!, "no",#REF!, "yes")</f>
        <v>#REF!</v>
      </c>
      <c r="O30" s="16">
        <v>0</v>
      </c>
      <c r="P30" s="16">
        <v>0</v>
      </c>
      <c r="Q30" s="16">
        <v>0</v>
      </c>
      <c r="R30" s="16">
        <v>0</v>
      </c>
      <c r="S30" s="20"/>
      <c r="U30" s="32" t="e">
        <f t="shared" si="0"/>
        <v>#REF!</v>
      </c>
      <c r="V30" s="21" t="e">
        <f t="shared" si="1"/>
        <v>#REF!</v>
      </c>
    </row>
    <row r="31" spans="1:22" ht="19.5" customHeight="1" x14ac:dyDescent="0.35">
      <c r="A31" s="93"/>
      <c r="B31" s="16" t="s">
        <v>36</v>
      </c>
      <c r="C31" s="22" t="e">
        <f t="shared" ref="C31:R31" si="7">SUM(C29,C30)</f>
        <v>#REF!</v>
      </c>
      <c r="D31" s="22" t="e">
        <f t="shared" si="7"/>
        <v>#REF!</v>
      </c>
      <c r="E31" s="22" t="e">
        <f t="shared" si="7"/>
        <v>#REF!</v>
      </c>
      <c r="F31" s="22" t="e">
        <f t="shared" si="7"/>
        <v>#REF!</v>
      </c>
      <c r="G31" s="22" t="e">
        <f t="shared" si="7"/>
        <v>#REF!</v>
      </c>
      <c r="H31" s="22" t="e">
        <f t="shared" si="7"/>
        <v>#REF!</v>
      </c>
      <c r="I31" s="22" t="e">
        <f t="shared" si="7"/>
        <v>#REF!</v>
      </c>
      <c r="J31" s="22" t="e">
        <f t="shared" si="7"/>
        <v>#REF!</v>
      </c>
      <c r="K31" s="22">
        <f t="shared" si="7"/>
        <v>0</v>
      </c>
      <c r="L31" s="22" t="e">
        <f t="shared" si="7"/>
        <v>#REF!</v>
      </c>
      <c r="M31" s="22" t="e">
        <f t="shared" si="7"/>
        <v>#REF!</v>
      </c>
      <c r="N31" s="22" t="e">
        <f t="shared" si="7"/>
        <v>#REF!</v>
      </c>
      <c r="O31" s="22">
        <f t="shared" si="7"/>
        <v>0</v>
      </c>
      <c r="P31" s="22">
        <f t="shared" si="7"/>
        <v>0</v>
      </c>
      <c r="Q31" s="22">
        <f t="shared" si="7"/>
        <v>0</v>
      </c>
      <c r="R31" s="22">
        <f t="shared" si="7"/>
        <v>0</v>
      </c>
      <c r="S31" s="20"/>
      <c r="U31" s="32" t="e">
        <f t="shared" si="0"/>
        <v>#REF!</v>
      </c>
      <c r="V31" s="21" t="e">
        <f t="shared" si="1"/>
        <v>#REF!</v>
      </c>
    </row>
    <row r="32" spans="1:22" ht="19.5" customHeight="1" x14ac:dyDescent="0.35">
      <c r="A32" s="91" t="s">
        <v>72</v>
      </c>
      <c r="B32" s="16" t="s">
        <v>17</v>
      </c>
      <c r="C32" s="16" t="e">
        <f>COUNTIFS(#REF!, "m",#REF!, "*severely wasted*",#REF!, "*6*")</f>
        <v>#REF!</v>
      </c>
      <c r="D32" s="16" t="e">
        <f>COUNTIFS(#REF!, "m",#REF!, "wasted",#REF!, "*6*")</f>
        <v>#REF!</v>
      </c>
      <c r="E32" s="16" t="e">
        <f>COUNTIFS(#REF!, "m",#REF!, "*normal*",#REF!, "*6*")</f>
        <v>#REF!</v>
      </c>
      <c r="F32" s="16" t="e">
        <f>COUNTIFS(#REF!, "m",#REF!, "overweight",#REF!, "*6*")</f>
        <v>#REF!</v>
      </c>
      <c r="G32" s="16" t="e">
        <f>COUNTIFS(#REF!, "m",#REF!, "severely stunted",#REF!, "*6*")</f>
        <v>#REF!</v>
      </c>
      <c r="H32" s="16" t="e">
        <f>COUNTIFS(#REF!, "m",#REF!, "stunted",#REF!, "*6*")</f>
        <v>#REF!</v>
      </c>
      <c r="I32" s="16" t="e">
        <f>COUNTIFS(#REF!, "m",#REF!, "*normal*",#REF!, "*6*")</f>
        <v>#REF!</v>
      </c>
      <c r="J32" s="16" t="e">
        <f>COUNTIFS(#REF!, "m",#REF!, "tall",#REF!, "*6*")</f>
        <v>#REF!</v>
      </c>
      <c r="K32" s="16">
        <v>0</v>
      </c>
      <c r="L32" s="16" t="e">
        <f>COUNTIFS(#REF!, "m",#REF!, "severely stunted",#REF!, "*normal*",#REF!, "*6*")
+COUNTIFS(#REF!, "m",#REF!, "severely stunted",#REF!,  "overweigth",#REF!, "*6*")
+COUNTIFS(#REF!, "m",#REF!, "stunted",#REF!, "*normal*",#REF!, "*6*")
+COUNTIFS(#REF!, "m",#REF!, "stunted",#REF!,  "overweigth",#REF!, "*6*")</f>
        <v>#REF!</v>
      </c>
      <c r="M32" s="16" t="e">
        <f>COUNTIFS(#REF!, "m",#REF!, "*6*",#REF!, "*normal*",#REF!, "*normal*",#REF!, "yes",#REF!, "no")
+COUNTIFS(#REF!, "m",#REF!, "*6*",#REF!, "*normal*",#REF!,  "tall",#REF!, "yes",#REF!, "no")</f>
        <v>#REF!</v>
      </c>
      <c r="N32" s="16" t="e">
        <f>COUNTIFS(#REF!, "m",#REF!, "*1*",#REF!, "*normal*",#REF!, "*normal*",#REF!, "no",#REF!, "yes")
+COUNTIFS(#REF!, "m",#REF!, "*1*",#REF!, "*normal*",#REF!,  "tall",#REF!, "no",#REF!, "yes")</f>
        <v>#REF!</v>
      </c>
      <c r="O32" s="16">
        <v>0</v>
      </c>
      <c r="P32" s="16">
        <v>0</v>
      </c>
      <c r="Q32" s="16">
        <v>0</v>
      </c>
      <c r="R32" s="16">
        <v>0</v>
      </c>
      <c r="S32" s="20"/>
      <c r="U32" s="32" t="e">
        <f t="shared" si="0"/>
        <v>#REF!</v>
      </c>
      <c r="V32" s="21" t="e">
        <f t="shared" si="1"/>
        <v>#REF!</v>
      </c>
    </row>
    <row r="33" spans="1:22" ht="19.5" customHeight="1" x14ac:dyDescent="0.35">
      <c r="A33" s="92"/>
      <c r="B33" s="16" t="s">
        <v>19</v>
      </c>
      <c r="C33" s="16" t="e">
        <f>COUNTIFS(#REF!, "f",#REF!, "*severely wasted*",#REF!, "*6*")</f>
        <v>#REF!</v>
      </c>
      <c r="D33" s="16" t="e">
        <f>COUNTIFS(#REF!, "f",#REF!, "wasted",#REF!, "*6*")</f>
        <v>#REF!</v>
      </c>
      <c r="E33" s="16" t="e">
        <f>COUNTIFS(#REF!, "f",#REF!, "*normal*",#REF!, "*6*")</f>
        <v>#REF!</v>
      </c>
      <c r="F33" s="16" t="e">
        <f>COUNTIFS(#REF!, "f",#REF!, "overweight",#REF!, "*6*")</f>
        <v>#REF!</v>
      </c>
      <c r="G33" s="16" t="e">
        <f>COUNTIFS(#REF!, "f",#REF!, "severely stunted",#REF!, "*6*")</f>
        <v>#REF!</v>
      </c>
      <c r="H33" s="16" t="e">
        <f>COUNTIFS(#REF!, "f",#REF!, "stunted",#REF!, "*6*")</f>
        <v>#REF!</v>
      </c>
      <c r="I33" s="16" t="e">
        <f>COUNTIFS(#REF!, "f",#REF!, "*normal*",#REF!, "*6*")</f>
        <v>#REF!</v>
      </c>
      <c r="J33" s="16" t="e">
        <f>COUNTIFS(#REF!, "f",#REF!, "tall",#REF!, "*6*")</f>
        <v>#REF!</v>
      </c>
      <c r="K33" s="16">
        <v>0</v>
      </c>
      <c r="L33" s="16" t="e">
        <f>COUNTIFS(#REF!, "f",#REF!, "severely stunted",#REF!, "*normal*",#REF!, "*6*")
+COUNTIFS(#REF!, "f",#REF!, "severely stunted",#REF!,  "overweigth",#REF!, "*6*")
+COUNTIFS(#REF!, "f",#REF!, "stunted",#REF!, "*normal*",#REF!, "*6*")
+COUNTIFS(#REF!, "f",#REF!, "stunted",#REF!,  "overweigth",#REF!, "*6*")</f>
        <v>#REF!</v>
      </c>
      <c r="M33" s="16" t="e">
        <f>COUNTIFS(#REF!, "f",#REF!, "*6*",#REF!, "*normal*",#REF!, "*normal*",#REF!, "yes",#REF!, "no")
+COUNTIFS(#REF!, "f",#REF!, "*6*",#REF!, "*normal*",#REF!,  "tall",#REF!, "yes",#REF!, "no")</f>
        <v>#REF!</v>
      </c>
      <c r="N33" s="16" t="e">
        <f>COUNTIFS(#REF!, "f",#REF!, "*1*",#REF!, "*normal*",#REF!, "*normal*",#REF!, "no",#REF!, "yes")
+COUNTIFS(#REF!, "f",#REF!, "*1*",#REF!, "*normal*",#REF!,  "tall",#REF!, "no",#REF!, "yes")</f>
        <v>#REF!</v>
      </c>
      <c r="O33" s="16">
        <v>0</v>
      </c>
      <c r="P33" s="16">
        <v>0</v>
      </c>
      <c r="Q33" s="16">
        <v>0</v>
      </c>
      <c r="R33" s="16">
        <v>0</v>
      </c>
      <c r="S33" s="20"/>
      <c r="U33" s="32" t="e">
        <f t="shared" si="0"/>
        <v>#REF!</v>
      </c>
      <c r="V33" s="21" t="e">
        <f t="shared" si="1"/>
        <v>#REF!</v>
      </c>
    </row>
    <row r="34" spans="1:22" ht="19.5" customHeight="1" x14ac:dyDescent="0.35">
      <c r="A34" s="93"/>
      <c r="B34" s="16" t="s">
        <v>36</v>
      </c>
      <c r="C34" s="22" t="e">
        <f t="shared" ref="C34:R34" si="8">SUM(C32,C33)</f>
        <v>#REF!</v>
      </c>
      <c r="D34" s="22" t="e">
        <f t="shared" si="8"/>
        <v>#REF!</v>
      </c>
      <c r="E34" s="22" t="e">
        <f t="shared" si="8"/>
        <v>#REF!</v>
      </c>
      <c r="F34" s="22" t="e">
        <f t="shared" si="8"/>
        <v>#REF!</v>
      </c>
      <c r="G34" s="22" t="e">
        <f t="shared" si="8"/>
        <v>#REF!</v>
      </c>
      <c r="H34" s="22" t="e">
        <f t="shared" si="8"/>
        <v>#REF!</v>
      </c>
      <c r="I34" s="22" t="e">
        <f t="shared" si="8"/>
        <v>#REF!</v>
      </c>
      <c r="J34" s="22" t="e">
        <f t="shared" si="8"/>
        <v>#REF!</v>
      </c>
      <c r="K34" s="22">
        <f t="shared" si="8"/>
        <v>0</v>
      </c>
      <c r="L34" s="22" t="e">
        <f t="shared" si="8"/>
        <v>#REF!</v>
      </c>
      <c r="M34" s="22" t="e">
        <f t="shared" si="8"/>
        <v>#REF!</v>
      </c>
      <c r="N34" s="22" t="e">
        <f t="shared" si="8"/>
        <v>#REF!</v>
      </c>
      <c r="O34" s="22">
        <f t="shared" si="8"/>
        <v>0</v>
      </c>
      <c r="P34" s="22">
        <f t="shared" si="8"/>
        <v>0</v>
      </c>
      <c r="Q34" s="22">
        <f t="shared" si="8"/>
        <v>0</v>
      </c>
      <c r="R34" s="22">
        <f t="shared" si="8"/>
        <v>0</v>
      </c>
      <c r="S34" s="20"/>
      <c r="U34" s="32" t="e">
        <f t="shared" si="0"/>
        <v>#REF!</v>
      </c>
      <c r="V34" s="21" t="e">
        <f t="shared" si="1"/>
        <v>#REF!</v>
      </c>
    </row>
    <row r="35" spans="1:22" ht="19.5" customHeight="1" x14ac:dyDescent="0.35">
      <c r="A35" s="91" t="s">
        <v>73</v>
      </c>
      <c r="B35" s="16" t="s">
        <v>17</v>
      </c>
      <c r="C35" s="16" t="e">
        <f>COUNTIFS(#REF!, "m",#REF!, "*severely wasted*",#REF!, "non-graded")</f>
        <v>#REF!</v>
      </c>
      <c r="D35" s="16" t="e">
        <f>COUNTIFS(#REF!, "m",#REF!, "wasted",#REF!, "non-graded")</f>
        <v>#REF!</v>
      </c>
      <c r="E35" s="16" t="e">
        <f>COUNTIFS(#REF!, "m",#REF!, "*normal*",#REF!, "non-graded")</f>
        <v>#REF!</v>
      </c>
      <c r="F35" s="16" t="e">
        <f>COUNTIFS(#REF!, "m",#REF!, "overweigth",#REF!, "non-graded")</f>
        <v>#REF!</v>
      </c>
      <c r="G35" s="16" t="e">
        <f>COUNTIFS(#REF!, "m",#REF!, "severely stunted",#REF!, "non-graded")</f>
        <v>#REF!</v>
      </c>
      <c r="H35" s="16" t="e">
        <f>COUNTIFS(#REF!, "m",#REF!, "stunted",#REF!, "non-graded")</f>
        <v>#REF!</v>
      </c>
      <c r="I35" s="16" t="e">
        <f>COUNTIFS(#REF!, "m",#REF!, "*normal*",#REF!, "non-graded")</f>
        <v>#REF!</v>
      </c>
      <c r="J35" s="16" t="e">
        <f>COUNTIFS(#REF!, "m",#REF!, "tall",#REF!, "non-graded")</f>
        <v>#REF!</v>
      </c>
      <c r="K35" s="16">
        <v>0</v>
      </c>
      <c r="L35" s="16" t="e">
        <f>COUNTIFS(#REF!, "m",#REF!, "severely stunted",#REF!, "*normal*",#REF!, "non-graded")
+COUNTIFS(#REF!, "m",#REF!, "severely stunted",#REF!,  "overweigth",#REF!, "non-graded")
+COUNTIFS(#REF!, "m",#REF!, "stunted",#REF!, "*normal*",#REF!, "non-graded")
+COUNTIFS(#REF!, "m",#REF!, "stunted",#REF!,  "overweigth",#REF!, "non-graded")</f>
        <v>#REF!</v>
      </c>
      <c r="M35" s="16" t="e">
        <f>COUNTIFS(#REF!, "m",#REF!, "non-graded",#REF!, "*normal*",#REF!, "*normal*",#REF!, "yes",#REF!, "no")
+COUNTIFS(#REF!, "m",#REF!, "non-graded",#REF!, "*normal*",#REF!,  "tall",#REF!, "yes",#REF!, "no")</f>
        <v>#REF!</v>
      </c>
      <c r="N35" s="16" t="e">
        <f>COUNTIFS(#REF!, "m",#REF!, "*1*",#REF!, "*normal*",#REF!, "*normal*",#REF!, "no",#REF!, "yes")
+COUNTIFS(#REF!, "m",#REF!, "*1*",#REF!, "*normal*",#REF!,  "tall",#REF!, "no",#REF!, "yes")</f>
        <v>#REF!</v>
      </c>
      <c r="O35" s="16">
        <v>0</v>
      </c>
      <c r="P35" s="16">
        <v>0</v>
      </c>
      <c r="Q35" s="16">
        <v>0</v>
      </c>
      <c r="R35" s="16">
        <v>0</v>
      </c>
      <c r="S35" s="20"/>
      <c r="U35" s="32" t="e">
        <f t="shared" si="0"/>
        <v>#REF!</v>
      </c>
      <c r="V35" s="21" t="e">
        <f t="shared" si="1"/>
        <v>#REF!</v>
      </c>
    </row>
    <row r="36" spans="1:22" ht="19.5" customHeight="1" x14ac:dyDescent="0.35">
      <c r="A36" s="99"/>
      <c r="B36" s="16" t="s">
        <v>19</v>
      </c>
      <c r="C36" s="16" t="e">
        <f>COUNTIFS(#REF!, "f",#REF!, "*severely wasted*",#REF!, "non-graded")</f>
        <v>#REF!</v>
      </c>
      <c r="D36" s="16" t="e">
        <f>COUNTIFS(#REF!, "f",#REF!, "wasted",#REF!, "non-graded")</f>
        <v>#REF!</v>
      </c>
      <c r="E36" s="16" t="e">
        <f>COUNTIFS(#REF!, "f",#REF!, "*normal*",#REF!, "non-graded")</f>
        <v>#REF!</v>
      </c>
      <c r="F36" s="16" t="e">
        <f>COUNTIFS(#REF!, "f",#REF!, "overweigth",#REF!, "non-graded")</f>
        <v>#REF!</v>
      </c>
      <c r="G36" s="16" t="e">
        <f>COUNTIFS(#REF!, "f",#REF!, "severely stunted",#REF!, "non-graded")</f>
        <v>#REF!</v>
      </c>
      <c r="H36" s="16" t="e">
        <f>COUNTIFS(#REF!, "f",#REF!, "stunted",#REF!, "non-graded")</f>
        <v>#REF!</v>
      </c>
      <c r="I36" s="16" t="e">
        <f>COUNTIFS(#REF!, "f",#REF!, "*normal*",#REF!, "non-graded")</f>
        <v>#REF!</v>
      </c>
      <c r="J36" s="16" t="e">
        <f>COUNTIFS(#REF!, "f",#REF!, "tall",#REF!, "non-graded")</f>
        <v>#REF!</v>
      </c>
      <c r="K36" s="16">
        <v>0</v>
      </c>
      <c r="L36" s="16" t="e">
        <f>COUNTIFS(#REF!, "f",#REF!, "severely stunted",#REF!, "*normal*",#REF!, "non-graded")
+COUNTIFS(#REF!, "f",#REF!, "severely stunted",#REF!,  "overweigth",#REF!, "non-graded")
+COUNTIFS(#REF!, "f",#REF!, "stunted",#REF!, "*normal*",#REF!, "non-graded")
+COUNTIFS(#REF!, "f",#REF!, "stunted",#REF!,  "overweigth",#REF!, "non-graded")</f>
        <v>#REF!</v>
      </c>
      <c r="M36" s="16" t="e">
        <f>COUNTIFS(#REF!, "f",#REF!, "non-graded",#REF!, "*normal*",#REF!, "*normal*",#REF!, "yes",#REF!, "no")
+COUNTIFS(#REF!, "f",#REF!, "non-graded",#REF!, "*normal*",#REF!,  "tall",#REF!, "yes",#REF!, "no")</f>
        <v>#REF!</v>
      </c>
      <c r="N36" s="16" t="e">
        <f>COUNTIFS(#REF!, "f",#REF!, "*1*",#REF!, "*normal*",#REF!, "*normal*",#REF!, "no",#REF!, "yes")
+COUNTIFS(#REF!, "f",#REF!, "*1*",#REF!, "*normal*",#REF!,  "tall",#REF!, "no",#REF!, "yes")</f>
        <v>#REF!</v>
      </c>
      <c r="O36" s="16">
        <v>0</v>
      </c>
      <c r="P36" s="16">
        <v>0</v>
      </c>
      <c r="Q36" s="16">
        <v>0</v>
      </c>
      <c r="R36" s="16">
        <v>0</v>
      </c>
      <c r="S36" s="20"/>
      <c r="U36" s="32" t="e">
        <f t="shared" si="0"/>
        <v>#REF!</v>
      </c>
      <c r="V36" s="21" t="e">
        <f t="shared" si="1"/>
        <v>#REF!</v>
      </c>
    </row>
    <row r="37" spans="1:22" ht="19.5" customHeight="1" x14ac:dyDescent="0.35">
      <c r="A37" s="100"/>
      <c r="B37" s="16" t="s">
        <v>36</v>
      </c>
      <c r="C37" s="22" t="e">
        <f t="shared" ref="C37:R37" si="9">SUM(C35,C36)</f>
        <v>#REF!</v>
      </c>
      <c r="D37" s="22" t="e">
        <f t="shared" si="9"/>
        <v>#REF!</v>
      </c>
      <c r="E37" s="22" t="e">
        <f t="shared" si="9"/>
        <v>#REF!</v>
      </c>
      <c r="F37" s="22" t="e">
        <f t="shared" si="9"/>
        <v>#REF!</v>
      </c>
      <c r="G37" s="22" t="e">
        <f t="shared" si="9"/>
        <v>#REF!</v>
      </c>
      <c r="H37" s="22" t="e">
        <f t="shared" si="9"/>
        <v>#REF!</v>
      </c>
      <c r="I37" s="22" t="e">
        <f t="shared" si="9"/>
        <v>#REF!</v>
      </c>
      <c r="J37" s="22" t="e">
        <f t="shared" si="9"/>
        <v>#REF!</v>
      </c>
      <c r="K37" s="22">
        <f t="shared" si="9"/>
        <v>0</v>
      </c>
      <c r="L37" s="22" t="e">
        <f t="shared" si="9"/>
        <v>#REF!</v>
      </c>
      <c r="M37" s="22" t="e">
        <f t="shared" si="9"/>
        <v>#REF!</v>
      </c>
      <c r="N37" s="22" t="e">
        <f t="shared" si="9"/>
        <v>#REF!</v>
      </c>
      <c r="O37" s="22">
        <f t="shared" si="9"/>
        <v>0</v>
      </c>
      <c r="P37" s="22">
        <f t="shared" si="9"/>
        <v>0</v>
      </c>
      <c r="Q37" s="22">
        <f t="shared" si="9"/>
        <v>0</v>
      </c>
      <c r="R37" s="22">
        <f t="shared" si="9"/>
        <v>0</v>
      </c>
      <c r="S37" s="20"/>
      <c r="U37" s="32" t="e">
        <f t="shared" si="0"/>
        <v>#REF!</v>
      </c>
      <c r="V37" s="21" t="e">
        <f t="shared" si="1"/>
        <v>#REF!</v>
      </c>
    </row>
    <row r="38" spans="1:22" ht="19.5" customHeight="1" x14ac:dyDescent="0.35">
      <c r="A38" s="91" t="s">
        <v>74</v>
      </c>
      <c r="B38" s="16" t="s">
        <v>17</v>
      </c>
      <c r="C38" s="24" t="e">
        <f t="shared" ref="C38:R40" si="10">SUM(C14,C17,C20,C23,C26,C29,C32,C35)</f>
        <v>#REF!</v>
      </c>
      <c r="D38" s="24" t="e">
        <f t="shared" si="10"/>
        <v>#REF!</v>
      </c>
      <c r="E38" s="24" t="e">
        <f t="shared" si="10"/>
        <v>#REF!</v>
      </c>
      <c r="F38" s="24" t="e">
        <f t="shared" si="10"/>
        <v>#REF!</v>
      </c>
      <c r="G38" s="24" t="e">
        <f t="shared" si="10"/>
        <v>#REF!</v>
      </c>
      <c r="H38" s="24" t="e">
        <f t="shared" si="10"/>
        <v>#REF!</v>
      </c>
      <c r="I38" s="24" t="e">
        <f t="shared" si="10"/>
        <v>#REF!</v>
      </c>
      <c r="J38" s="24" t="e">
        <f t="shared" si="10"/>
        <v>#REF!</v>
      </c>
      <c r="K38" s="24">
        <f t="shared" si="10"/>
        <v>0</v>
      </c>
      <c r="L38" s="24" t="e">
        <f t="shared" si="10"/>
        <v>#REF!</v>
      </c>
      <c r="M38" s="24" t="e">
        <f t="shared" si="10"/>
        <v>#REF!</v>
      </c>
      <c r="N38" s="24" t="e">
        <f t="shared" si="10"/>
        <v>#REF!</v>
      </c>
      <c r="O38" s="24">
        <f t="shared" si="10"/>
        <v>0</v>
      </c>
      <c r="P38" s="24">
        <f t="shared" si="10"/>
        <v>0</v>
      </c>
      <c r="Q38" s="24">
        <f t="shared" si="10"/>
        <v>0</v>
      </c>
      <c r="R38" s="24">
        <f t="shared" si="10"/>
        <v>0</v>
      </c>
      <c r="S38" s="20"/>
      <c r="U38" s="32" t="e">
        <f t="shared" si="0"/>
        <v>#REF!</v>
      </c>
      <c r="V38" s="21" t="e">
        <f t="shared" si="1"/>
        <v>#REF!</v>
      </c>
    </row>
    <row r="39" spans="1:22" ht="19.5" customHeight="1" x14ac:dyDescent="0.35">
      <c r="A39" s="92"/>
      <c r="B39" s="16" t="s">
        <v>19</v>
      </c>
      <c r="C39" s="24" t="e">
        <f t="shared" si="10"/>
        <v>#REF!</v>
      </c>
      <c r="D39" s="24" t="e">
        <f t="shared" si="10"/>
        <v>#REF!</v>
      </c>
      <c r="E39" s="24" t="e">
        <f t="shared" si="10"/>
        <v>#REF!</v>
      </c>
      <c r="F39" s="24" t="e">
        <f t="shared" si="10"/>
        <v>#REF!</v>
      </c>
      <c r="G39" s="24" t="e">
        <f t="shared" si="10"/>
        <v>#REF!</v>
      </c>
      <c r="H39" s="24" t="e">
        <f t="shared" si="10"/>
        <v>#REF!</v>
      </c>
      <c r="I39" s="24" t="e">
        <f t="shared" si="10"/>
        <v>#REF!</v>
      </c>
      <c r="J39" s="24" t="e">
        <f t="shared" si="10"/>
        <v>#REF!</v>
      </c>
      <c r="K39" s="24">
        <f t="shared" si="10"/>
        <v>0</v>
      </c>
      <c r="L39" s="24" t="e">
        <f t="shared" si="10"/>
        <v>#REF!</v>
      </c>
      <c r="M39" s="24" t="e">
        <f t="shared" si="10"/>
        <v>#REF!</v>
      </c>
      <c r="N39" s="24" t="e">
        <f t="shared" si="10"/>
        <v>#REF!</v>
      </c>
      <c r="O39" s="24">
        <f t="shared" si="10"/>
        <v>0</v>
      </c>
      <c r="P39" s="24">
        <f t="shared" si="10"/>
        <v>0</v>
      </c>
      <c r="Q39" s="24">
        <f t="shared" si="10"/>
        <v>0</v>
      </c>
      <c r="R39" s="24">
        <f t="shared" si="10"/>
        <v>0</v>
      </c>
      <c r="S39" s="20"/>
      <c r="U39" s="32" t="e">
        <f t="shared" si="0"/>
        <v>#REF!</v>
      </c>
      <c r="V39" s="21" t="e">
        <f t="shared" si="1"/>
        <v>#REF!</v>
      </c>
    </row>
    <row r="40" spans="1:22" ht="19.5" customHeight="1" x14ac:dyDescent="0.35">
      <c r="A40" s="93"/>
      <c r="B40" s="16" t="s">
        <v>36</v>
      </c>
      <c r="C40" s="24" t="e">
        <f t="shared" si="10"/>
        <v>#REF!</v>
      </c>
      <c r="D40" s="24" t="e">
        <f t="shared" si="10"/>
        <v>#REF!</v>
      </c>
      <c r="E40" s="24" t="e">
        <f t="shared" si="10"/>
        <v>#REF!</v>
      </c>
      <c r="F40" s="24" t="e">
        <f t="shared" si="10"/>
        <v>#REF!</v>
      </c>
      <c r="G40" s="24" t="e">
        <f t="shared" si="10"/>
        <v>#REF!</v>
      </c>
      <c r="H40" s="24" t="e">
        <f t="shared" si="10"/>
        <v>#REF!</v>
      </c>
      <c r="I40" s="24" t="e">
        <f t="shared" si="10"/>
        <v>#REF!</v>
      </c>
      <c r="J40" s="24" t="e">
        <f t="shared" si="10"/>
        <v>#REF!</v>
      </c>
      <c r="K40" s="24">
        <f t="shared" si="10"/>
        <v>0</v>
      </c>
      <c r="L40" s="24" t="e">
        <f t="shared" si="10"/>
        <v>#REF!</v>
      </c>
      <c r="M40" s="24" t="e">
        <f t="shared" si="10"/>
        <v>#REF!</v>
      </c>
      <c r="N40" s="24" t="e">
        <f t="shared" si="10"/>
        <v>#REF!</v>
      </c>
      <c r="O40" s="24">
        <f t="shared" si="10"/>
        <v>0</v>
      </c>
      <c r="P40" s="24">
        <f t="shared" si="10"/>
        <v>0</v>
      </c>
      <c r="Q40" s="24">
        <f t="shared" si="10"/>
        <v>0</v>
      </c>
      <c r="R40" s="24">
        <f t="shared" si="10"/>
        <v>0</v>
      </c>
      <c r="S40" s="20"/>
      <c r="U40" s="32" t="e">
        <f t="shared" si="0"/>
        <v>#REF!</v>
      </c>
      <c r="V40" s="21" t="e">
        <f t="shared" si="1"/>
        <v>#REF!</v>
      </c>
    </row>
    <row r="42" spans="1:22" x14ac:dyDescent="0.35">
      <c r="A42" s="90" t="s">
        <v>75</v>
      </c>
      <c r="B42" s="90"/>
      <c r="C42" s="90"/>
      <c r="D42" s="90"/>
      <c r="E42" s="90"/>
      <c r="F42" s="90"/>
      <c r="G42" s="90"/>
      <c r="H42" s="90"/>
      <c r="I42" s="90"/>
      <c r="J42" s="90"/>
      <c r="K42" s="13" t="s">
        <v>76</v>
      </c>
    </row>
    <row r="43" spans="1:22" x14ac:dyDescent="0.35">
      <c r="A43" s="95"/>
      <c r="B43" s="95"/>
      <c r="C43" s="95"/>
      <c r="D43" s="95"/>
      <c r="E43" s="95"/>
      <c r="F43" s="95"/>
      <c r="G43" s="95"/>
      <c r="H43" s="95"/>
      <c r="I43" s="95"/>
      <c r="J43" s="95"/>
      <c r="K43" s="14"/>
    </row>
    <row r="44" spans="1:22" x14ac:dyDescent="0.35">
      <c r="A44" s="94" t="s">
        <v>86</v>
      </c>
      <c r="B44" s="94"/>
      <c r="C44" s="94"/>
      <c r="D44" s="94"/>
      <c r="E44" s="94"/>
      <c r="F44" s="94"/>
      <c r="G44" s="94"/>
      <c r="H44" s="94"/>
      <c r="I44" s="94"/>
      <c r="J44" s="94"/>
      <c r="K44" s="94" t="s">
        <v>86</v>
      </c>
      <c r="L44" s="94"/>
      <c r="M44" s="94"/>
      <c r="N44" s="94"/>
      <c r="O44" s="94"/>
      <c r="P44" s="94"/>
      <c r="Q44" s="94"/>
      <c r="R44" s="94"/>
      <c r="S44" s="25"/>
      <c r="T44" s="25"/>
      <c r="U44" s="25"/>
      <c r="V44" s="25"/>
    </row>
    <row r="45" spans="1:22" x14ac:dyDescent="0.35">
      <c r="A45" s="90" t="s">
        <v>77</v>
      </c>
      <c r="B45" s="90"/>
      <c r="C45" s="90"/>
      <c r="D45" s="90"/>
      <c r="E45" s="90"/>
      <c r="F45" s="90"/>
      <c r="G45" s="90"/>
      <c r="H45" s="90"/>
      <c r="I45" s="90"/>
      <c r="J45" s="90"/>
      <c r="K45" s="14" t="s">
        <v>78</v>
      </c>
    </row>
    <row r="47" spans="1:22" x14ac:dyDescent="0.35">
      <c r="A47" s="90" t="s">
        <v>79</v>
      </c>
      <c r="B47" s="90"/>
      <c r="C47" s="90"/>
      <c r="D47" s="90"/>
      <c r="E47" s="90"/>
      <c r="F47" s="90"/>
      <c r="G47" s="90"/>
      <c r="H47" s="90"/>
      <c r="I47" s="90"/>
      <c r="J47" s="90"/>
      <c r="K47" s="90"/>
      <c r="L47" s="90"/>
      <c r="M47" s="90"/>
      <c r="N47" s="90"/>
      <c r="O47" s="90"/>
      <c r="P47" s="90"/>
      <c r="Q47" s="90"/>
      <c r="R47" s="90"/>
      <c r="S47" s="90"/>
    </row>
  </sheetData>
  <mergeCells count="27">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ageMargins left="0.7" right="0.7" top="0.75" bottom="0.75" header="0.3" footer="0.3"/>
  <pageSetup paperSize="14" scale="52"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B305-A8AD-49C5-B275-8047C43C2A65}">
  <dimension ref="A1:N43"/>
  <sheetViews>
    <sheetView zoomScale="70" zoomScaleNormal="70" workbookViewId="0">
      <selection activeCell="N988" sqref="N988"/>
    </sheetView>
  </sheetViews>
  <sheetFormatPr defaultRowHeight="14.5" x14ac:dyDescent="0.35"/>
  <cols>
    <col min="1" max="10" width="13.7265625" customWidth="1"/>
  </cols>
  <sheetData>
    <row r="1" spans="1:10" x14ac:dyDescent="0.35">
      <c r="A1" s="34" t="s">
        <v>99</v>
      </c>
      <c r="B1" s="34"/>
      <c r="C1" s="34"/>
      <c r="D1" s="34"/>
      <c r="E1" s="34"/>
      <c r="F1" s="34"/>
      <c r="G1" s="34"/>
      <c r="H1" s="34"/>
      <c r="I1" s="34"/>
      <c r="J1" s="34"/>
    </row>
    <row r="2" spans="1:10" x14ac:dyDescent="0.35">
      <c r="A2" s="34" t="s">
        <v>100</v>
      </c>
      <c r="B2" s="34"/>
      <c r="C2" s="34"/>
      <c r="D2" s="34"/>
      <c r="E2" s="34"/>
      <c r="F2" s="34"/>
      <c r="G2" s="34"/>
      <c r="H2" s="34"/>
      <c r="I2" s="34"/>
      <c r="J2" s="34"/>
    </row>
    <row r="3" spans="1:10" x14ac:dyDescent="0.35">
      <c r="A3" s="34" t="s">
        <v>101</v>
      </c>
      <c r="B3" s="34"/>
      <c r="C3" s="34"/>
      <c r="D3" s="34"/>
      <c r="E3" s="34"/>
      <c r="F3" s="34"/>
      <c r="G3" s="34"/>
      <c r="H3" s="34"/>
      <c r="I3" s="34"/>
      <c r="J3" s="34"/>
    </row>
    <row r="4" spans="1:10" x14ac:dyDescent="0.35">
      <c r="A4" s="34" t="s">
        <v>102</v>
      </c>
      <c r="B4" s="34"/>
      <c r="C4" s="34"/>
      <c r="D4" s="34"/>
      <c r="E4" s="34"/>
      <c r="F4" s="34"/>
      <c r="G4" s="34"/>
      <c r="H4" s="34"/>
      <c r="I4" s="34"/>
      <c r="J4" s="34"/>
    </row>
    <row r="5" spans="1:10" x14ac:dyDescent="0.35">
      <c r="A5" s="34" t="s">
        <v>103</v>
      </c>
      <c r="B5" s="34"/>
      <c r="C5" s="34"/>
      <c r="D5" s="34"/>
      <c r="E5" s="34"/>
      <c r="F5" s="34"/>
      <c r="G5" s="34"/>
      <c r="H5" s="34"/>
      <c r="I5" s="34"/>
      <c r="J5" s="34"/>
    </row>
    <row r="6" spans="1:10" x14ac:dyDescent="0.35">
      <c r="A6" s="34" t="s">
        <v>104</v>
      </c>
      <c r="B6" s="34"/>
      <c r="C6" s="34"/>
      <c r="D6" s="34"/>
      <c r="E6" s="34"/>
      <c r="F6" s="34"/>
      <c r="G6" s="34"/>
      <c r="H6" s="34"/>
      <c r="I6" s="34"/>
      <c r="J6" s="34"/>
    </row>
    <row r="7" spans="1:10" x14ac:dyDescent="0.35">
      <c r="A7" s="34" t="s">
        <v>105</v>
      </c>
      <c r="B7" s="34"/>
      <c r="C7" s="34"/>
      <c r="D7" s="34"/>
      <c r="E7" s="34"/>
      <c r="F7" s="34"/>
      <c r="G7" s="34"/>
      <c r="H7" s="34"/>
      <c r="I7" s="34"/>
      <c r="J7" s="34"/>
    </row>
    <row r="8" spans="1:10" x14ac:dyDescent="0.35">
      <c r="A8" s="34"/>
      <c r="B8" s="34"/>
      <c r="C8" s="34"/>
      <c r="D8" s="34"/>
      <c r="E8" s="34"/>
      <c r="F8" s="34"/>
      <c r="G8" s="34"/>
      <c r="H8" s="34"/>
      <c r="I8" s="34"/>
      <c r="J8" s="34"/>
    </row>
    <row r="9" spans="1:10" x14ac:dyDescent="0.35">
      <c r="A9" s="34"/>
      <c r="B9" s="34"/>
      <c r="C9" s="34"/>
      <c r="D9" s="34"/>
      <c r="E9" s="34"/>
      <c r="F9" s="34"/>
      <c r="G9" s="34"/>
      <c r="H9" s="34"/>
      <c r="I9" s="34"/>
      <c r="J9" s="34"/>
    </row>
    <row r="10" spans="1:10" x14ac:dyDescent="0.35">
      <c r="A10" s="106" t="s">
        <v>106</v>
      </c>
      <c r="B10" s="107"/>
      <c r="C10" s="107"/>
      <c r="D10" s="107"/>
      <c r="E10" s="107"/>
      <c r="F10" s="107"/>
      <c r="G10" s="107"/>
      <c r="H10" s="107"/>
      <c r="I10" s="107"/>
      <c r="J10" s="108"/>
    </row>
    <row r="11" spans="1:10" x14ac:dyDescent="0.35">
      <c r="A11" s="109" t="s">
        <v>107</v>
      </c>
      <c r="B11" s="108"/>
      <c r="C11" s="110" t="s">
        <v>108</v>
      </c>
      <c r="D11" s="107"/>
      <c r="E11" s="107"/>
      <c r="F11" s="107"/>
      <c r="G11" s="107"/>
      <c r="H11" s="107"/>
      <c r="I11" s="107"/>
      <c r="J11" s="108"/>
    </row>
    <row r="12" spans="1:10" ht="28" x14ac:dyDescent="0.35">
      <c r="A12" s="35" t="s">
        <v>31</v>
      </c>
      <c r="B12" s="35" t="s">
        <v>2</v>
      </c>
      <c r="C12" s="36" t="s">
        <v>15</v>
      </c>
      <c r="D12" s="36" t="s">
        <v>20</v>
      </c>
      <c r="E12" s="36" t="s">
        <v>33</v>
      </c>
      <c r="F12" s="36" t="s">
        <v>109</v>
      </c>
      <c r="G12" s="37" t="s">
        <v>16</v>
      </c>
      <c r="H12" s="37" t="s">
        <v>21</v>
      </c>
      <c r="I12" s="37" t="s">
        <v>18</v>
      </c>
      <c r="J12" s="37" t="s">
        <v>22</v>
      </c>
    </row>
    <row r="13" spans="1:10" x14ac:dyDescent="0.35">
      <c r="A13" s="103" t="s">
        <v>98</v>
      </c>
      <c r="B13" s="38" t="s">
        <v>17</v>
      </c>
      <c r="C13" s="39" t="e">
        <f>COUNTIFS(#REF!,"*k*",#REF!,"*m*",#REF!, "*severely*")</f>
        <v>#REF!</v>
      </c>
      <c r="D13" s="39" t="e">
        <f>COUNTIFS(#REF!,"*k*",#REF!,"*m*",#REF!, "wasted")</f>
        <v>#REF!</v>
      </c>
      <c r="E13" s="39" t="e">
        <f>COUNTIFS(#REF!,"*k*",#REF!,"*m*",#REF!, "*normal*")</f>
        <v>#REF!</v>
      </c>
      <c r="F13" s="39" t="e">
        <f>COUNTIFS(#REF!,"*k*",#REF!,"*m*",#REF!, "*overweight*")</f>
        <v>#REF!</v>
      </c>
      <c r="G13" s="40" t="e">
        <f>COUNTIFS(#REF!, "m",#REF!, "*k*",#REF!, "*severely*")</f>
        <v>#REF!</v>
      </c>
      <c r="H13" s="40" t="e">
        <f>COUNTIFS(#REF!, "m",#REF!, "*k*",#REF!, "stunted")</f>
        <v>#REF!</v>
      </c>
      <c r="I13" s="40" t="e">
        <f>COUNTIFS(#REF!, "m",#REF!, "*k*",#REF!, "*normal*")</f>
        <v>#REF!</v>
      </c>
      <c r="J13" s="40" t="e">
        <f>COUNTIFS(#REF!, "m",#REF!, "*k*",#REF!, "*tall*")</f>
        <v>#REF!</v>
      </c>
    </row>
    <row r="14" spans="1:10" x14ac:dyDescent="0.35">
      <c r="A14" s="104"/>
      <c r="B14" s="38" t="s">
        <v>19</v>
      </c>
      <c r="C14" s="39" t="e">
        <f>COUNTIFS(#REF!,"*k*",#REF!,"*f*",#REF!, "*severely*")</f>
        <v>#REF!</v>
      </c>
      <c r="D14" s="39" t="e">
        <f>COUNTIFS(#REF!,"*k*",#REF!,"*f*",#REF!, "wasted")</f>
        <v>#REF!</v>
      </c>
      <c r="E14" s="39" t="e">
        <f>COUNTIFS(#REF!,"*k*",#REF!,"*f*",#REF!, "*normal*")</f>
        <v>#REF!</v>
      </c>
      <c r="F14" s="39" t="e">
        <f>COUNTIFS(#REF!,"*k*",#REF!,"*f*",#REF!, "*overweight*")</f>
        <v>#REF!</v>
      </c>
      <c r="G14" s="40" t="e">
        <f>COUNTIFS(#REF!, "f",#REF!, "*k*",#REF!, "*severely*")</f>
        <v>#REF!</v>
      </c>
      <c r="H14" s="40" t="e">
        <f>COUNTIFS(#REF!, "f",#REF!, "*k*",#REF!, "stunted")</f>
        <v>#REF!</v>
      </c>
      <c r="I14" s="40" t="e">
        <f>COUNTIFS(#REF!, "f",#REF!, "*k*",#REF!, "*normal*")</f>
        <v>#REF!</v>
      </c>
      <c r="J14" s="40" t="e">
        <f>COUNTIFS(#REF!, "f",#REF!, "*k*",#REF!, "*tall*")</f>
        <v>#REF!</v>
      </c>
    </row>
    <row r="15" spans="1:10" x14ac:dyDescent="0.35">
      <c r="A15" s="105"/>
      <c r="B15" s="41" t="s">
        <v>36</v>
      </c>
      <c r="C15" s="42" t="e">
        <f t="shared" ref="C15:J15" si="0">SUM(C13:C14)</f>
        <v>#REF!</v>
      </c>
      <c r="D15" s="42" t="e">
        <f t="shared" si="0"/>
        <v>#REF!</v>
      </c>
      <c r="E15" s="42" t="e">
        <f t="shared" si="0"/>
        <v>#REF!</v>
      </c>
      <c r="F15" s="42" t="e">
        <f t="shared" si="0"/>
        <v>#REF!</v>
      </c>
      <c r="G15" s="43" t="e">
        <f t="shared" si="0"/>
        <v>#REF!</v>
      </c>
      <c r="H15" s="43" t="e">
        <f t="shared" si="0"/>
        <v>#REF!</v>
      </c>
      <c r="I15" s="43" t="e">
        <f t="shared" si="0"/>
        <v>#REF!</v>
      </c>
      <c r="J15" s="43" t="e">
        <f t="shared" si="0"/>
        <v>#REF!</v>
      </c>
    </row>
    <row r="16" spans="1:10" x14ac:dyDescent="0.35">
      <c r="A16" s="103" t="s">
        <v>110</v>
      </c>
      <c r="B16" s="38" t="s">
        <v>17</v>
      </c>
      <c r="C16" s="39" t="e">
        <f>COUNTIFS(#REF!,"*1*",#REF!, "*m*",#REF!, "*severely*")</f>
        <v>#REF!</v>
      </c>
      <c r="D16" s="39" t="e">
        <f>COUNTIFS(#REF!,"*1*",#REF!,"*m*",#REF!, "wasted")</f>
        <v>#REF!</v>
      </c>
      <c r="E16" s="39" t="e">
        <f>COUNTIFS(#REF!,"*1*",#REF!,"*m*",#REF!, "*normal*")</f>
        <v>#REF!</v>
      </c>
      <c r="F16" s="39" t="e">
        <f>COUNTIFS(#REF!,"*1*",#REF!,"*m*",#REF!, "*overweight*")</f>
        <v>#REF!</v>
      </c>
      <c r="G16" s="40" t="e">
        <f>COUNTIFS(#REF!, "m",#REF!, "*1*",#REF!, "*severely*")</f>
        <v>#REF!</v>
      </c>
      <c r="H16" s="40" t="e">
        <f>COUNTIFS(#REF!, "m",#REF!, "*1*",#REF!, "stunted")</f>
        <v>#REF!</v>
      </c>
      <c r="I16" s="40" t="e">
        <f>COUNTIFS(#REF!, "m",#REF!, "*1*",#REF!, "*normal*")</f>
        <v>#REF!</v>
      </c>
      <c r="J16" s="40" t="e">
        <f>COUNTIFS(#REF!, "m",#REF!, "*1*",#REF!, "*tall*")</f>
        <v>#REF!</v>
      </c>
    </row>
    <row r="17" spans="1:10" x14ac:dyDescent="0.35">
      <c r="A17" s="104"/>
      <c r="B17" s="38" t="s">
        <v>19</v>
      </c>
      <c r="C17" s="39" t="e">
        <f>COUNTIFS(#REF!,"*1*",#REF!,"*f*",#REF!, "*severely*")</f>
        <v>#REF!</v>
      </c>
      <c r="D17" s="39" t="e">
        <f>COUNTIFS(#REF!,"*1*",#REF!,"*f*",#REF!, "wasted")</f>
        <v>#REF!</v>
      </c>
      <c r="E17" s="39" t="e">
        <f>COUNTIFS(#REF!,"*1*",#REF!,"*f*",#REF!, "*normal*")</f>
        <v>#REF!</v>
      </c>
      <c r="F17" s="39" t="e">
        <f>COUNTIFS(#REF!,"*1*",#REF!,"*f*",#REF!, "*overweight*")</f>
        <v>#REF!</v>
      </c>
      <c r="G17" s="40" t="e">
        <f>COUNTIFS(#REF!, "f",#REF!, "*1*",#REF!, "*severely*")</f>
        <v>#REF!</v>
      </c>
      <c r="H17" s="40" t="e">
        <f>COUNTIFS(#REF!, "f",#REF!, "*1*",#REF!, "stunted")</f>
        <v>#REF!</v>
      </c>
      <c r="I17" s="40" t="e">
        <f>COUNTIFS(#REF!, "f",#REF!, "*1*",#REF!, "*normal*")</f>
        <v>#REF!</v>
      </c>
      <c r="J17" s="40" t="e">
        <f>COUNTIFS(#REF!, "f",#REF!, "*1*",#REF!, "*tall*")</f>
        <v>#REF!</v>
      </c>
    </row>
    <row r="18" spans="1:10" x14ac:dyDescent="0.35">
      <c r="A18" s="105"/>
      <c r="B18" s="41" t="s">
        <v>36</v>
      </c>
      <c r="C18" s="42" t="e">
        <f t="shared" ref="C18:J18" si="1">SUM(C16:C17)</f>
        <v>#REF!</v>
      </c>
      <c r="D18" s="42" t="e">
        <f t="shared" si="1"/>
        <v>#REF!</v>
      </c>
      <c r="E18" s="42" t="e">
        <f t="shared" si="1"/>
        <v>#REF!</v>
      </c>
      <c r="F18" s="42" t="e">
        <f t="shared" si="1"/>
        <v>#REF!</v>
      </c>
      <c r="G18" s="43" t="e">
        <f t="shared" si="1"/>
        <v>#REF!</v>
      </c>
      <c r="H18" s="43" t="e">
        <f t="shared" si="1"/>
        <v>#REF!</v>
      </c>
      <c r="I18" s="43" t="e">
        <f t="shared" si="1"/>
        <v>#REF!</v>
      </c>
      <c r="J18" s="43" t="e">
        <f t="shared" si="1"/>
        <v>#REF!</v>
      </c>
    </row>
    <row r="19" spans="1:10" x14ac:dyDescent="0.35">
      <c r="A19" s="103" t="s">
        <v>26</v>
      </c>
      <c r="B19" s="38" t="s">
        <v>17</v>
      </c>
      <c r="C19" s="39" t="e">
        <f>COUNTIFS(#REF!,"*2*",#REF!,"*m*",#REF!, "*severely*")</f>
        <v>#REF!</v>
      </c>
      <c r="D19" s="39" t="e">
        <f>COUNTIFS(#REF!,"*2*",#REF!,"*m*",#REF!, "wasted")</f>
        <v>#REF!</v>
      </c>
      <c r="E19" s="39" t="e">
        <f>COUNTIFS(#REF!,"*2*",#REF!,"*m*",#REF!, "*normal*")</f>
        <v>#REF!</v>
      </c>
      <c r="F19" s="39" t="e">
        <f>COUNTIFS(#REF!,"*2*",#REF!,"*m*",#REF!, "*overweight*")</f>
        <v>#REF!</v>
      </c>
      <c r="G19" s="40" t="e">
        <f>COUNTIFS(#REF!, "m",#REF!, "*2*",#REF!, "*severely*")</f>
        <v>#REF!</v>
      </c>
      <c r="H19" s="40" t="e">
        <f>COUNTIFS(#REF!, "m",#REF!, "*2*",#REF!, "stunted")</f>
        <v>#REF!</v>
      </c>
      <c r="I19" s="40" t="e">
        <f>COUNTIFS(#REF!, "m",#REF!, "*2*",#REF!, "*normal*")</f>
        <v>#REF!</v>
      </c>
      <c r="J19" s="40" t="e">
        <f>COUNTIFS(#REF!, "m",#REF!, "*2*",#REF!, "*tall*")</f>
        <v>#REF!</v>
      </c>
    </row>
    <row r="20" spans="1:10" x14ac:dyDescent="0.35">
      <c r="A20" s="104"/>
      <c r="B20" s="38" t="s">
        <v>19</v>
      </c>
      <c r="C20" s="39" t="e">
        <f>COUNTIFS(#REF!,"*2*",#REF!,"*f*",#REF!, "*severely*")</f>
        <v>#REF!</v>
      </c>
      <c r="D20" s="39" t="e">
        <f>COUNTIFS(#REF!,"*2*",#REF!,"*f*",#REF!, "wasted")</f>
        <v>#REF!</v>
      </c>
      <c r="E20" s="39" t="e">
        <f>COUNTIFS(#REF!,"*2*",#REF!,"*f*",#REF!, "*normal*")</f>
        <v>#REF!</v>
      </c>
      <c r="F20" s="39" t="e">
        <f>COUNTIFS(#REF!,"*2*",#REF!,"*f*",#REF!, "*overweight*")</f>
        <v>#REF!</v>
      </c>
      <c r="G20" s="40" t="e">
        <f>COUNTIFS(#REF!, "f",#REF!, "*2*",#REF!, "*severely*")</f>
        <v>#REF!</v>
      </c>
      <c r="H20" s="40" t="e">
        <f>COUNTIFS(#REF!, "f",#REF!, "*2*",#REF!, "stunted")</f>
        <v>#REF!</v>
      </c>
      <c r="I20" s="40" t="e">
        <f>COUNTIFS(#REF!, "f",#REF!, "*2*",#REF!, "*normal*")</f>
        <v>#REF!</v>
      </c>
      <c r="J20" s="40" t="e">
        <f>COUNTIFS(#REF!, "f",#REF!, "*2*",#REF!, "*tall*")</f>
        <v>#REF!</v>
      </c>
    </row>
    <row r="21" spans="1:10" x14ac:dyDescent="0.35">
      <c r="A21" s="105"/>
      <c r="B21" s="41" t="s">
        <v>36</v>
      </c>
      <c r="C21" s="42" t="e">
        <f t="shared" ref="C21:J21" si="2">SUM(C19:C20)</f>
        <v>#REF!</v>
      </c>
      <c r="D21" s="42" t="e">
        <f t="shared" si="2"/>
        <v>#REF!</v>
      </c>
      <c r="E21" s="42" t="e">
        <f t="shared" si="2"/>
        <v>#REF!</v>
      </c>
      <c r="F21" s="42" t="e">
        <f t="shared" si="2"/>
        <v>#REF!</v>
      </c>
      <c r="G21" s="43" t="e">
        <f t="shared" si="2"/>
        <v>#REF!</v>
      </c>
      <c r="H21" s="43" t="e">
        <f t="shared" si="2"/>
        <v>#REF!</v>
      </c>
      <c r="I21" s="43" t="e">
        <f t="shared" si="2"/>
        <v>#REF!</v>
      </c>
      <c r="J21" s="43" t="e">
        <f t="shared" si="2"/>
        <v>#REF!</v>
      </c>
    </row>
    <row r="22" spans="1:10" x14ac:dyDescent="0.35">
      <c r="A22" s="103" t="s">
        <v>24</v>
      </c>
      <c r="B22" s="38" t="s">
        <v>17</v>
      </c>
      <c r="C22" s="39" t="e">
        <f>COUNTIFS(#REF!,"*3*",#REF!,"*m*",#REF!, "*severely*")</f>
        <v>#REF!</v>
      </c>
      <c r="D22" s="39" t="e">
        <f>COUNTIFS(#REF!,"*3*",#REF!,"*m*",#REF!, "wasted")</f>
        <v>#REF!</v>
      </c>
      <c r="E22" s="39" t="e">
        <f>COUNTIFS(#REF!,"*3*",#REF!,"*m*",#REF!, "*normal*")</f>
        <v>#REF!</v>
      </c>
      <c r="F22" s="39" t="e">
        <f>COUNTIFS(#REF!,"*3*",#REF!,"*m*",#REF!, "*overweight*")</f>
        <v>#REF!</v>
      </c>
      <c r="G22" s="40" t="e">
        <f>COUNTIFS(#REF!, "m",#REF!, "*3*",#REF!, "*severely*")</f>
        <v>#REF!</v>
      </c>
      <c r="H22" s="40" t="e">
        <f>COUNTIFS(#REF!, "m",#REF!, "*3*",#REF!, "stunted")</f>
        <v>#REF!</v>
      </c>
      <c r="I22" s="40" t="e">
        <f>COUNTIFS(#REF!, "m",#REF!, "*3*",#REF!, "*normal*")</f>
        <v>#REF!</v>
      </c>
      <c r="J22" s="40" t="e">
        <f>COUNTIFS(#REF!, "m",#REF!, "*3*",#REF!, "*tall*")</f>
        <v>#REF!</v>
      </c>
    </row>
    <row r="23" spans="1:10" x14ac:dyDescent="0.35">
      <c r="A23" s="104"/>
      <c r="B23" s="38" t="s">
        <v>19</v>
      </c>
      <c r="C23" s="39" t="e">
        <f>COUNTIFS(#REF!,"*3*",#REF!,"*f*",#REF!, "*severely*")</f>
        <v>#REF!</v>
      </c>
      <c r="D23" s="39" t="e">
        <f>COUNTIFS(#REF!,"*3*",#REF!,"*f*",#REF!, "wasted")</f>
        <v>#REF!</v>
      </c>
      <c r="E23" s="39" t="e">
        <f>COUNTIFS(#REF!,"*3*",#REF!,"*f*",#REF!, "*normal*")</f>
        <v>#REF!</v>
      </c>
      <c r="F23" s="39" t="e">
        <f>COUNTIFS(#REF!,"*3*",#REF!,"*f*",#REF!, "*overweight*")</f>
        <v>#REF!</v>
      </c>
      <c r="G23" s="40" t="e">
        <f>COUNTIFS(#REF!, "f",#REF!, "*3*",#REF!, "*severely*")</f>
        <v>#REF!</v>
      </c>
      <c r="H23" s="40" t="e">
        <f>COUNTIFS(#REF!, "f",#REF!, "*3*",#REF!, "stunted")</f>
        <v>#REF!</v>
      </c>
      <c r="I23" s="40" t="e">
        <f>COUNTIFS(#REF!, "f",#REF!, "*3*",#REF!, "*normal*")</f>
        <v>#REF!</v>
      </c>
      <c r="J23" s="40" t="e">
        <f>COUNTIFS(#REF!, "f",#REF!, "*3*",#REF!, "*tall*")</f>
        <v>#REF!</v>
      </c>
    </row>
    <row r="24" spans="1:10" x14ac:dyDescent="0.35">
      <c r="A24" s="105"/>
      <c r="B24" s="41" t="s">
        <v>36</v>
      </c>
      <c r="C24" s="42" t="e">
        <f t="shared" ref="C24:J24" si="3">SUM(C22:C23)</f>
        <v>#REF!</v>
      </c>
      <c r="D24" s="42" t="e">
        <f t="shared" si="3"/>
        <v>#REF!</v>
      </c>
      <c r="E24" s="42" t="e">
        <f t="shared" si="3"/>
        <v>#REF!</v>
      </c>
      <c r="F24" s="42" t="e">
        <f t="shared" si="3"/>
        <v>#REF!</v>
      </c>
      <c r="G24" s="43" t="e">
        <f t="shared" si="3"/>
        <v>#REF!</v>
      </c>
      <c r="H24" s="43" t="e">
        <f t="shared" si="3"/>
        <v>#REF!</v>
      </c>
      <c r="I24" s="43" t="e">
        <f t="shared" si="3"/>
        <v>#REF!</v>
      </c>
      <c r="J24" s="43" t="e">
        <f t="shared" si="3"/>
        <v>#REF!</v>
      </c>
    </row>
    <row r="25" spans="1:10" x14ac:dyDescent="0.35">
      <c r="A25" s="103" t="s">
        <v>27</v>
      </c>
      <c r="B25" s="38" t="s">
        <v>17</v>
      </c>
      <c r="C25" s="39" t="e">
        <f>COUNTIFS(#REF!,"*4*",#REF!,"*m*",#REF!, "*severely*")</f>
        <v>#REF!</v>
      </c>
      <c r="D25" s="39" t="e">
        <f>COUNTIFS(#REF!,"*4*",#REF!,"*m*",#REF!, "wasted")</f>
        <v>#REF!</v>
      </c>
      <c r="E25" s="39" t="e">
        <f>COUNTIFS(#REF!,"*4*",#REF!,"*m*",#REF!, "*normal*")</f>
        <v>#REF!</v>
      </c>
      <c r="F25" s="39" t="e">
        <f>COUNTIFS(#REF!,"*4*",#REF!,"*m*",#REF!, "*overweight*")</f>
        <v>#REF!</v>
      </c>
      <c r="G25" s="40" t="e">
        <f>COUNTIFS(#REF!, "m",#REF!, "*4*",#REF!, "*severely*")</f>
        <v>#REF!</v>
      </c>
      <c r="H25" s="40" t="e">
        <f>COUNTIFS(#REF!, "m",#REF!, "*4*",#REF!, "stunted")</f>
        <v>#REF!</v>
      </c>
      <c r="I25" s="40" t="e">
        <f>COUNTIFS(#REF!, "m",#REF!, "*4*",#REF!, "*normal*")</f>
        <v>#REF!</v>
      </c>
      <c r="J25" s="40" t="e">
        <f>COUNTIFS(#REF!, "m",#REF!, "*4*",#REF!, "*tall*")</f>
        <v>#REF!</v>
      </c>
    </row>
    <row r="26" spans="1:10" x14ac:dyDescent="0.35">
      <c r="A26" s="104"/>
      <c r="B26" s="38" t="s">
        <v>19</v>
      </c>
      <c r="C26" s="39" t="e">
        <f>COUNTIFS(#REF!,"*4*",#REF!,"*f*",#REF!, "*severely*")</f>
        <v>#REF!</v>
      </c>
      <c r="D26" s="39" t="e">
        <f>COUNTIFS(#REF!,"*4*",#REF!,"*f*",#REF!, "wasted")</f>
        <v>#REF!</v>
      </c>
      <c r="E26" s="39" t="e">
        <f>COUNTIFS(#REF!,"*4*",#REF!,"*f*",#REF!, "*normal*")</f>
        <v>#REF!</v>
      </c>
      <c r="F26" s="39" t="e">
        <f>COUNTIFS(#REF!,"*4*",#REF!,"*f*",#REF!, "*overweight*")</f>
        <v>#REF!</v>
      </c>
      <c r="G26" s="40" t="e">
        <f>COUNTIFS(#REF!, "f",#REF!, "*4*",#REF!, "*severely*")</f>
        <v>#REF!</v>
      </c>
      <c r="H26" s="40" t="e">
        <f>COUNTIFS(#REF!, "f",#REF!, "*4*",#REF!, "stunted")</f>
        <v>#REF!</v>
      </c>
      <c r="I26" s="40" t="e">
        <f>COUNTIFS(#REF!, "f",#REF!, "*4*",#REF!, "*normal*")</f>
        <v>#REF!</v>
      </c>
      <c r="J26" s="40" t="e">
        <f>COUNTIFS(#REF!, "f",#REF!, "*4*",#REF!, "*tall*")</f>
        <v>#REF!</v>
      </c>
    </row>
    <row r="27" spans="1:10" x14ac:dyDescent="0.35">
      <c r="A27" s="105"/>
      <c r="B27" s="41" t="s">
        <v>36</v>
      </c>
      <c r="C27" s="42" t="e">
        <f t="shared" ref="C27:J27" si="4">SUM(C25:C26)</f>
        <v>#REF!</v>
      </c>
      <c r="D27" s="42" t="e">
        <f t="shared" si="4"/>
        <v>#REF!</v>
      </c>
      <c r="E27" s="42" t="e">
        <f t="shared" si="4"/>
        <v>#REF!</v>
      </c>
      <c r="F27" s="42" t="e">
        <f t="shared" si="4"/>
        <v>#REF!</v>
      </c>
      <c r="G27" s="43" t="e">
        <f t="shared" si="4"/>
        <v>#REF!</v>
      </c>
      <c r="H27" s="43" t="e">
        <f t="shared" si="4"/>
        <v>#REF!</v>
      </c>
      <c r="I27" s="43" t="e">
        <f t="shared" si="4"/>
        <v>#REF!</v>
      </c>
      <c r="J27" s="43" t="e">
        <f t="shared" si="4"/>
        <v>#REF!</v>
      </c>
    </row>
    <row r="28" spans="1:10" x14ac:dyDescent="0.35">
      <c r="A28" s="103" t="s">
        <v>28</v>
      </c>
      <c r="B28" s="38" t="s">
        <v>17</v>
      </c>
      <c r="C28" s="39" t="e">
        <f>COUNTIFS(#REF!,"*5*",#REF!,"*m*",#REF!, "*severely*")</f>
        <v>#REF!</v>
      </c>
      <c r="D28" s="39" t="e">
        <f>COUNTIFS(#REF!,"*5*",#REF!,"*m*",#REF!, "wasted")</f>
        <v>#REF!</v>
      </c>
      <c r="E28" s="39" t="e">
        <f>COUNTIFS(#REF!,"*5*",#REF!,"*m*",#REF!, "*normal*")</f>
        <v>#REF!</v>
      </c>
      <c r="F28" s="39" t="e">
        <f>COUNTIFS(#REF!,"*5*",#REF!,"*m*",#REF!, "*overweight*")</f>
        <v>#REF!</v>
      </c>
      <c r="G28" s="40" t="e">
        <f>COUNTIFS(#REF!, "m",#REF!, "*5*",#REF!, "*severely*")</f>
        <v>#REF!</v>
      </c>
      <c r="H28" s="40" t="e">
        <f>COUNTIFS(#REF!, "m",#REF!, "*5*",#REF!, "stunted")</f>
        <v>#REF!</v>
      </c>
      <c r="I28" s="40" t="e">
        <f>COUNTIFS(#REF!, "m",#REF!, "*5*",#REF!, "*normal*")</f>
        <v>#REF!</v>
      </c>
      <c r="J28" s="40" t="e">
        <f>COUNTIFS(#REF!, "m",#REF!, "*5*",#REF!, "*tall*")</f>
        <v>#REF!</v>
      </c>
    </row>
    <row r="29" spans="1:10" x14ac:dyDescent="0.35">
      <c r="A29" s="104"/>
      <c r="B29" s="38" t="s">
        <v>19</v>
      </c>
      <c r="C29" s="39" t="e">
        <f>COUNTIFS(#REF!,"*5*",#REF!,"*f*",#REF!, "*severely*")</f>
        <v>#REF!</v>
      </c>
      <c r="D29" s="39" t="e">
        <f>COUNTIFS(#REF!,"*5*",#REF!,"*f*",#REF!, "wasted")</f>
        <v>#REF!</v>
      </c>
      <c r="E29" s="39" t="e">
        <f>COUNTIFS(#REF!,"*5*",#REF!,"*f*",#REF!, "*normal*")</f>
        <v>#REF!</v>
      </c>
      <c r="F29" s="39" t="e">
        <f>COUNTIFS(#REF!,"*5*",#REF!,"*f*",#REF!, "*overweight*")</f>
        <v>#REF!</v>
      </c>
      <c r="G29" s="40" t="e">
        <f>COUNTIFS(#REF!, "f",#REF!, "*5*",#REF!, "*severely*")</f>
        <v>#REF!</v>
      </c>
      <c r="H29" s="40" t="e">
        <f>COUNTIFS(#REF!, "f",#REF!, "*5*",#REF!, "stunted")</f>
        <v>#REF!</v>
      </c>
      <c r="I29" s="40" t="e">
        <f>COUNTIFS(#REF!, "f",#REF!, "*5*",#REF!, "*normal*")</f>
        <v>#REF!</v>
      </c>
      <c r="J29" s="40" t="e">
        <f>COUNTIFS(#REF!, "f",#REF!, "*5*",#REF!, "*tall*")</f>
        <v>#REF!</v>
      </c>
    </row>
    <row r="30" spans="1:10" x14ac:dyDescent="0.35">
      <c r="A30" s="105"/>
      <c r="B30" s="41" t="s">
        <v>36</v>
      </c>
      <c r="C30" s="42" t="e">
        <f t="shared" ref="C30:J30" si="5">SUM(C28:C29)</f>
        <v>#REF!</v>
      </c>
      <c r="D30" s="42" t="e">
        <f t="shared" si="5"/>
        <v>#REF!</v>
      </c>
      <c r="E30" s="42" t="e">
        <f t="shared" si="5"/>
        <v>#REF!</v>
      </c>
      <c r="F30" s="42" t="e">
        <f t="shared" si="5"/>
        <v>#REF!</v>
      </c>
      <c r="G30" s="43" t="e">
        <f t="shared" si="5"/>
        <v>#REF!</v>
      </c>
      <c r="H30" s="43" t="e">
        <f t="shared" si="5"/>
        <v>#REF!</v>
      </c>
      <c r="I30" s="43" t="e">
        <f t="shared" si="5"/>
        <v>#REF!</v>
      </c>
      <c r="J30" s="43" t="e">
        <f t="shared" si="5"/>
        <v>#REF!</v>
      </c>
    </row>
    <row r="31" spans="1:10" x14ac:dyDescent="0.35">
      <c r="A31" s="103" t="s">
        <v>25</v>
      </c>
      <c r="B31" s="38" t="s">
        <v>17</v>
      </c>
      <c r="C31" s="39" t="e">
        <f>COUNTIFS(#REF!,"*6*",#REF!,"*m*",#REF!, "*severely*")</f>
        <v>#REF!</v>
      </c>
      <c r="D31" s="39" t="e">
        <f>COUNTIFS(#REF!,"*6*",#REF!,"*m*",#REF!, "wasted")</f>
        <v>#REF!</v>
      </c>
      <c r="E31" s="39" t="e">
        <f>COUNTIFS(#REF!,"*6*",#REF!,"*m*",#REF!, "*normal*")</f>
        <v>#REF!</v>
      </c>
      <c r="F31" s="39" t="e">
        <f>COUNTIFS(#REF!,"*6*",#REF!,"*m*",#REF!, "*overweight*")</f>
        <v>#REF!</v>
      </c>
      <c r="G31" s="40" t="e">
        <f>COUNTIFS(#REF!, "m",#REF!, "*6*",#REF!, "*severely*")</f>
        <v>#REF!</v>
      </c>
      <c r="H31" s="40" t="e">
        <f>COUNTIFS(#REF!, "m",#REF!, "*6*",#REF!, "stunted")</f>
        <v>#REF!</v>
      </c>
      <c r="I31" s="40" t="e">
        <f>COUNTIFS(#REF!, "m",#REF!, "*6*",#REF!, "*normal*")</f>
        <v>#REF!</v>
      </c>
      <c r="J31" s="40" t="e">
        <f>COUNTIFS(#REF!, "m",#REF!, "*6*",#REF!, "*tall*")</f>
        <v>#REF!</v>
      </c>
    </row>
    <row r="32" spans="1:10" x14ac:dyDescent="0.35">
      <c r="A32" s="104"/>
      <c r="B32" s="38" t="s">
        <v>19</v>
      </c>
      <c r="C32" s="39" t="e">
        <f>COUNTIFS(#REF!,"*6*",#REF!,"*f*",#REF!, "*severely*")</f>
        <v>#REF!</v>
      </c>
      <c r="D32" s="39" t="e">
        <f>COUNTIFS(#REF!,"*6*",#REF!,"*f*",#REF!, "wasted")</f>
        <v>#REF!</v>
      </c>
      <c r="E32" s="39" t="e">
        <f>COUNTIFS(#REF!,"*6*",#REF!,"*f*",#REF!, "*normal*")</f>
        <v>#REF!</v>
      </c>
      <c r="F32" s="39" t="e">
        <f>COUNTIFS(#REF!,"*6*",#REF!,"*f*",#REF!, "*overweight*")</f>
        <v>#REF!</v>
      </c>
      <c r="G32" s="40" t="e">
        <f>COUNTIFS(#REF!, "f",#REF!, "*6*",#REF!, "*severely*")</f>
        <v>#REF!</v>
      </c>
      <c r="H32" s="40" t="e">
        <f>COUNTIFS(#REF!, "f",#REF!, "*6*",#REF!, "stunted")</f>
        <v>#REF!</v>
      </c>
      <c r="I32" s="40" t="e">
        <f>COUNTIFS(#REF!, "f",#REF!, "*6*",#REF!, "*normal*")</f>
        <v>#REF!</v>
      </c>
      <c r="J32" s="40" t="e">
        <f>COUNTIFS(#REF!, "f",#REF!, "*6*",#REF!, "*tall*")</f>
        <v>#REF!</v>
      </c>
    </row>
    <row r="33" spans="1:14" x14ac:dyDescent="0.35">
      <c r="A33" s="105"/>
      <c r="B33" s="41" t="s">
        <v>36</v>
      </c>
      <c r="C33" s="42" t="e">
        <f t="shared" ref="C33:J33" si="6">SUM(C31:C32)</f>
        <v>#REF!</v>
      </c>
      <c r="D33" s="42" t="e">
        <f t="shared" si="6"/>
        <v>#REF!</v>
      </c>
      <c r="E33" s="42" t="e">
        <f t="shared" si="6"/>
        <v>#REF!</v>
      </c>
      <c r="F33" s="42" t="e">
        <f t="shared" si="6"/>
        <v>#REF!</v>
      </c>
      <c r="G33" s="43" t="e">
        <f t="shared" si="6"/>
        <v>#REF!</v>
      </c>
      <c r="H33" s="43" t="e">
        <f t="shared" si="6"/>
        <v>#REF!</v>
      </c>
      <c r="I33" s="43" t="e">
        <f t="shared" si="6"/>
        <v>#REF!</v>
      </c>
      <c r="J33" s="43" t="e">
        <f t="shared" si="6"/>
        <v>#REF!</v>
      </c>
    </row>
    <row r="34" spans="1:14" x14ac:dyDescent="0.35">
      <c r="A34" s="103" t="s">
        <v>111</v>
      </c>
      <c r="B34" s="38" t="s">
        <v>17</v>
      </c>
      <c r="C34" s="39" t="e">
        <f>COUNTIFS(#REF!,"*non-graded*",#REF!,"*m*",#REF!, "*severely*")</f>
        <v>#REF!</v>
      </c>
      <c r="D34" s="39" t="e">
        <f>COUNTIFS(#REF!,"*non-graded*",#REF!,"*m*",#REF!, "wasted")</f>
        <v>#REF!</v>
      </c>
      <c r="E34" s="39" t="e">
        <f>COUNTIFS(#REF!,"*non-graded*",#REF!,"*m*",#REF!, "*normal*")</f>
        <v>#REF!</v>
      </c>
      <c r="F34" s="39" t="e">
        <f>COUNTIFS(#REF!,"*non-graded*",#REF!,"*m*",#REF!, "*overweight*")</f>
        <v>#REF!</v>
      </c>
      <c r="G34" s="40" t="e">
        <f>COUNTIFS(#REF!, "m",#REF!, "*on-graded*",#REF!, "*severely*")</f>
        <v>#REF!</v>
      </c>
      <c r="H34" s="40" t="e">
        <f>COUNTIFS(#REF!, "m",#REF!, "*non-graded*",#REF!, "stunted")</f>
        <v>#REF!</v>
      </c>
      <c r="I34" s="40" t="e">
        <f>COUNTIFS(#REF!, "m",#REF!, "*non-graded*",#REF!, "*normal*")</f>
        <v>#REF!</v>
      </c>
      <c r="J34" s="40" t="e">
        <f>COUNTIFS(#REF!, "m",#REF!, "*non-graded*",#REF!, "*tall*")</f>
        <v>#REF!</v>
      </c>
    </row>
    <row r="35" spans="1:14" x14ac:dyDescent="0.35">
      <c r="A35" s="104"/>
      <c r="B35" s="38" t="s">
        <v>19</v>
      </c>
      <c r="C35" s="39" t="e">
        <f>COUNTIFS(#REF!,"*non-graded*",#REF!,"*f*",#REF!, "*severely*")</f>
        <v>#REF!</v>
      </c>
      <c r="D35" s="39" t="e">
        <f>COUNTIFS(#REF!,"*non-graded*",#REF!,"*f*",#REF!, "wasted")</f>
        <v>#REF!</v>
      </c>
      <c r="E35" s="39" t="e">
        <f>COUNTIFS(#REF!,"*non-graded*",#REF!,"*f*",#REF!, "*normal*")</f>
        <v>#REF!</v>
      </c>
      <c r="F35" s="39" t="e">
        <f>COUNTIFS(#REF!,"*non-graded*",#REF!,"*f*",#REF!, "*overweight*")</f>
        <v>#REF!</v>
      </c>
      <c r="G35" s="40" t="e">
        <f>COUNTIFS(#REF!, "f",#REF!, "*non-graded*",#REF!, "*severely*")</f>
        <v>#REF!</v>
      </c>
      <c r="H35" s="40" t="e">
        <f>COUNTIFS(#REF!, "f",#REF!, "*non-graded*",#REF!, "stunted")</f>
        <v>#REF!</v>
      </c>
      <c r="I35" s="40" t="e">
        <f>COUNTIFS(#REF!, "f",#REF!, "*non-graded*",#REF!, "*normal*")</f>
        <v>#REF!</v>
      </c>
      <c r="J35" s="40" t="e">
        <f>COUNTIFS(#REF!, "f",#REF!, "*non-graded*",#REF!, "*tall*")</f>
        <v>#REF!</v>
      </c>
    </row>
    <row r="36" spans="1:14" x14ac:dyDescent="0.35">
      <c r="A36" s="105"/>
      <c r="B36" s="41" t="s">
        <v>36</v>
      </c>
      <c r="C36" s="42" t="e">
        <f>C34+C35</f>
        <v>#REF!</v>
      </c>
      <c r="D36" s="42" t="e">
        <f t="shared" ref="D36:F36" si="7">D34+D35</f>
        <v>#REF!</v>
      </c>
      <c r="E36" s="42" t="e">
        <f t="shared" si="7"/>
        <v>#REF!</v>
      </c>
      <c r="F36" s="42" t="e">
        <f t="shared" si="7"/>
        <v>#REF!</v>
      </c>
      <c r="G36" s="43" t="e">
        <f>G34+G35</f>
        <v>#REF!</v>
      </c>
      <c r="H36" s="43" t="e">
        <f t="shared" ref="H36:J36" si="8">H34+H35</f>
        <v>#REF!</v>
      </c>
      <c r="I36" s="43" t="e">
        <f t="shared" si="8"/>
        <v>#REF!</v>
      </c>
      <c r="J36" s="43" t="e">
        <f t="shared" si="8"/>
        <v>#REF!</v>
      </c>
    </row>
    <row r="37" spans="1:14" x14ac:dyDescent="0.35">
      <c r="A37" s="103" t="s">
        <v>112</v>
      </c>
      <c r="B37" s="41" t="s">
        <v>17</v>
      </c>
      <c r="C37" s="42" t="e">
        <f t="shared" ref="C37:J38" si="9">C13+C16+C19+C22+C25+C28+C31+C34</f>
        <v>#REF!</v>
      </c>
      <c r="D37" s="42" t="e">
        <f t="shared" si="9"/>
        <v>#REF!</v>
      </c>
      <c r="E37" s="42" t="e">
        <f t="shared" si="9"/>
        <v>#REF!</v>
      </c>
      <c r="F37" s="42" t="e">
        <f t="shared" si="9"/>
        <v>#REF!</v>
      </c>
      <c r="G37" s="43" t="e">
        <f t="shared" si="9"/>
        <v>#REF!</v>
      </c>
      <c r="H37" s="43" t="e">
        <f t="shared" si="9"/>
        <v>#REF!</v>
      </c>
      <c r="I37" s="43" t="e">
        <f t="shared" si="9"/>
        <v>#REF!</v>
      </c>
      <c r="J37" s="43" t="e">
        <f t="shared" si="9"/>
        <v>#REF!</v>
      </c>
    </row>
    <row r="38" spans="1:14" x14ac:dyDescent="0.35">
      <c r="A38" s="112"/>
      <c r="B38" s="41" t="s">
        <v>19</v>
      </c>
      <c r="C38" s="42" t="e">
        <f t="shared" si="9"/>
        <v>#REF!</v>
      </c>
      <c r="D38" s="42" t="e">
        <f t="shared" si="9"/>
        <v>#REF!</v>
      </c>
      <c r="E38" s="42" t="e">
        <f t="shared" si="9"/>
        <v>#REF!</v>
      </c>
      <c r="F38" s="42" t="e">
        <f t="shared" si="9"/>
        <v>#REF!</v>
      </c>
      <c r="G38" s="43" t="e">
        <f t="shared" si="9"/>
        <v>#REF!</v>
      </c>
      <c r="H38" s="43" t="e">
        <f t="shared" si="9"/>
        <v>#REF!</v>
      </c>
      <c r="I38" s="43" t="e">
        <f t="shared" si="9"/>
        <v>#REF!</v>
      </c>
      <c r="J38" s="43" t="e">
        <f t="shared" si="9"/>
        <v>#REF!</v>
      </c>
    </row>
    <row r="39" spans="1:14" x14ac:dyDescent="0.35">
      <c r="A39" s="109" t="s">
        <v>113</v>
      </c>
      <c r="B39" s="113"/>
      <c r="C39" s="42" t="e">
        <f t="shared" ref="C39:F39" si="10">C37+C38</f>
        <v>#REF!</v>
      </c>
      <c r="D39" s="42" t="e">
        <f t="shared" si="10"/>
        <v>#REF!</v>
      </c>
      <c r="E39" s="42" t="e">
        <f t="shared" si="10"/>
        <v>#REF!</v>
      </c>
      <c r="F39" s="42" t="e">
        <f t="shared" si="10"/>
        <v>#REF!</v>
      </c>
      <c r="G39" s="43" t="e">
        <f>G37+G38</f>
        <v>#REF!</v>
      </c>
      <c r="H39" s="43" t="e">
        <f>H37+H38</f>
        <v>#REF!</v>
      </c>
      <c r="I39" s="43" t="e">
        <f>I37+I38</f>
        <v>#REF!</v>
      </c>
      <c r="J39" s="43" t="e">
        <f>J37+J38</f>
        <v>#REF!</v>
      </c>
      <c r="M39" t="e">
        <f>C39+D39+E39+F39</f>
        <v>#REF!</v>
      </c>
      <c r="N39" t="e">
        <f>G39+H39+I39+J39</f>
        <v>#REF!</v>
      </c>
    </row>
    <row r="40" spans="1:14" x14ac:dyDescent="0.35">
      <c r="A40" s="34"/>
      <c r="B40" s="34"/>
      <c r="C40" s="34"/>
      <c r="D40" s="34"/>
      <c r="E40" s="34"/>
      <c r="F40" s="34"/>
      <c r="G40" s="34"/>
      <c r="H40" s="34"/>
      <c r="I40" s="34"/>
      <c r="J40" s="34"/>
    </row>
    <row r="41" spans="1:14" x14ac:dyDescent="0.35">
      <c r="A41" s="114" t="s">
        <v>75</v>
      </c>
      <c r="B41" s="81"/>
      <c r="C41" s="81"/>
      <c r="D41" s="81"/>
      <c r="E41" s="34"/>
      <c r="F41" s="114" t="s">
        <v>114</v>
      </c>
      <c r="G41" s="81"/>
      <c r="H41" s="81"/>
      <c r="I41" s="34"/>
      <c r="J41" s="34"/>
    </row>
    <row r="42" spans="1:14" x14ac:dyDescent="0.35">
      <c r="A42" s="34"/>
      <c r="B42" s="115" t="s">
        <v>115</v>
      </c>
      <c r="C42" s="81"/>
      <c r="D42" s="81"/>
      <c r="E42" s="34"/>
      <c r="F42" s="34"/>
      <c r="G42" s="115" t="s">
        <v>116</v>
      </c>
      <c r="H42" s="81"/>
      <c r="I42" s="81"/>
      <c r="J42" s="81"/>
    </row>
    <row r="43" spans="1:14" x14ac:dyDescent="0.35">
      <c r="A43" s="34"/>
      <c r="B43" s="111" t="s">
        <v>117</v>
      </c>
      <c r="C43" s="81"/>
      <c r="D43" s="81"/>
      <c r="E43" s="34"/>
      <c r="F43" s="34"/>
      <c r="G43" s="111" t="s">
        <v>118</v>
      </c>
      <c r="H43" s="81"/>
      <c r="I43" s="81"/>
      <c r="J43" s="81"/>
    </row>
  </sheetData>
  <mergeCells count="19">
    <mergeCell ref="B43:D43"/>
    <mergeCell ref="G43:J43"/>
    <mergeCell ref="A22:A24"/>
    <mergeCell ref="A25:A27"/>
    <mergeCell ref="A28:A30"/>
    <mergeCell ref="A31:A33"/>
    <mergeCell ref="A34:A36"/>
    <mergeCell ref="A37:A38"/>
    <mergeCell ref="A39:B39"/>
    <mergeCell ref="A41:D41"/>
    <mergeCell ref="F41:H41"/>
    <mergeCell ref="B42:D42"/>
    <mergeCell ref="G42:J42"/>
    <mergeCell ref="A19:A21"/>
    <mergeCell ref="A10:J10"/>
    <mergeCell ref="A11:B11"/>
    <mergeCell ref="C11:J11"/>
    <mergeCell ref="A13:A15"/>
    <mergeCell ref="A16:A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1F3D-10D5-457E-BE26-DD183B9C541A}">
  <dimension ref="A1:P3"/>
  <sheetViews>
    <sheetView workbookViewId="0">
      <selection activeCell="P4" sqref="P4"/>
    </sheetView>
  </sheetViews>
  <sheetFormatPr defaultRowHeight="14.5" x14ac:dyDescent="0.35"/>
  <cols>
    <col min="4" max="4" width="13.7265625" customWidth="1"/>
    <col min="5" max="5" width="14.36328125" customWidth="1"/>
    <col min="6" max="6" width="14" customWidth="1"/>
    <col min="7" max="7" width="12.26953125" customWidth="1"/>
    <col min="8" max="8" width="12.90625" customWidth="1"/>
    <col min="9" max="9" width="12.6328125" customWidth="1"/>
    <col min="13" max="13" width="15.1796875" customWidth="1"/>
    <col min="14" max="14" width="13.54296875" customWidth="1"/>
    <col min="15" max="15" width="14" customWidth="1"/>
  </cols>
  <sheetData>
    <row r="1" spans="1:16" x14ac:dyDescent="0.35">
      <c r="A1" s="116"/>
      <c r="B1" s="116"/>
      <c r="C1" s="116"/>
      <c r="D1" s="116"/>
      <c r="E1" s="116"/>
      <c r="F1" s="116"/>
      <c r="G1" s="116"/>
      <c r="H1" s="116"/>
      <c r="I1" s="116"/>
      <c r="J1" s="116"/>
      <c r="K1" s="116"/>
      <c r="L1" s="116"/>
      <c r="M1" s="116"/>
      <c r="N1" s="116"/>
      <c r="O1" s="116"/>
    </row>
    <row r="2" spans="1:16" x14ac:dyDescent="0.35">
      <c r="A2" s="119" t="s">
        <v>0</v>
      </c>
      <c r="B2" s="121" t="s">
        <v>1</v>
      </c>
      <c r="C2" s="123" t="s">
        <v>2</v>
      </c>
      <c r="D2" s="125" t="s">
        <v>3</v>
      </c>
      <c r="E2" s="125" t="s">
        <v>4</v>
      </c>
      <c r="F2" s="125" t="s">
        <v>5</v>
      </c>
      <c r="G2" s="125" t="s">
        <v>6</v>
      </c>
      <c r="H2" s="123" t="s">
        <v>7</v>
      </c>
      <c r="I2" s="123" t="s">
        <v>8</v>
      </c>
      <c r="J2" s="125" t="s">
        <v>9</v>
      </c>
      <c r="K2" s="127" t="s">
        <v>10</v>
      </c>
      <c r="L2" s="128"/>
      <c r="M2" s="125" t="s">
        <v>11</v>
      </c>
      <c r="N2" s="125" t="s">
        <v>12</v>
      </c>
      <c r="O2" s="125" t="s">
        <v>89</v>
      </c>
      <c r="P2" s="117" t="s">
        <v>87</v>
      </c>
    </row>
    <row r="3" spans="1:16" ht="52.5" customHeight="1" x14ac:dyDescent="0.35">
      <c r="A3" s="120"/>
      <c r="B3" s="122"/>
      <c r="C3" s="124"/>
      <c r="D3" s="126"/>
      <c r="E3" s="126"/>
      <c r="F3" s="126"/>
      <c r="G3" s="126"/>
      <c r="H3" s="124"/>
      <c r="I3" s="124"/>
      <c r="J3" s="126"/>
      <c r="K3" s="12" t="s">
        <v>13</v>
      </c>
      <c r="L3" s="12" t="s">
        <v>14</v>
      </c>
      <c r="M3" s="126"/>
      <c r="N3" s="126"/>
      <c r="O3" s="126"/>
      <c r="P3" s="118"/>
    </row>
  </sheetData>
  <mergeCells count="16">
    <mergeCell ref="J2:J3"/>
    <mergeCell ref="K2:L2"/>
    <mergeCell ref="M2:M3"/>
    <mergeCell ref="N2:N3"/>
    <mergeCell ref="O2:O3"/>
    <mergeCell ref="P2:P3"/>
    <mergeCell ref="A1:O1"/>
    <mergeCell ref="A2:A3"/>
    <mergeCell ref="B2:B3"/>
    <mergeCell ref="C2:C3"/>
    <mergeCell ref="D2:D3"/>
    <mergeCell ref="E2:E3"/>
    <mergeCell ref="F2:F3"/>
    <mergeCell ref="G2:G3"/>
    <mergeCell ref="H2:H3"/>
    <mergeCell ref="I2: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F325D-8979-4A63-AE7D-956934067982}">
  <dimension ref="A1:T12"/>
  <sheetViews>
    <sheetView zoomScale="55" zoomScaleNormal="55" workbookViewId="0">
      <selection activeCell="P23" sqref="P23"/>
    </sheetView>
  </sheetViews>
  <sheetFormatPr defaultRowHeight="14.5" x14ac:dyDescent="0.35"/>
  <sheetData>
    <row r="1" spans="1:20" x14ac:dyDescent="0.35">
      <c r="A1" s="129" t="s">
        <v>119</v>
      </c>
      <c r="B1" s="129"/>
      <c r="C1" s="44"/>
      <c r="D1" s="44"/>
      <c r="E1" s="44"/>
      <c r="F1" s="45"/>
      <c r="G1" s="44"/>
      <c r="H1" s="44"/>
      <c r="I1" s="44"/>
      <c r="J1" s="44"/>
      <c r="K1" s="44"/>
      <c r="L1" s="46"/>
      <c r="M1" s="47"/>
      <c r="N1" s="44"/>
      <c r="O1" s="44"/>
      <c r="P1" s="44"/>
      <c r="Q1" s="44"/>
      <c r="R1" s="44"/>
      <c r="S1" s="44"/>
      <c r="T1" s="44"/>
    </row>
    <row r="2" spans="1:20" x14ac:dyDescent="0.35">
      <c r="A2" s="130" t="s">
        <v>48</v>
      </c>
      <c r="B2" s="131"/>
      <c r="C2" s="131"/>
      <c r="D2" s="131"/>
      <c r="E2" s="131"/>
      <c r="F2" s="131"/>
      <c r="G2" s="131"/>
      <c r="H2" s="131"/>
      <c r="I2" s="131"/>
      <c r="J2" s="131"/>
      <c r="K2" s="131"/>
      <c r="L2" s="131"/>
      <c r="M2" s="131"/>
      <c r="N2" s="131"/>
      <c r="O2" s="131"/>
      <c r="P2" s="131"/>
      <c r="Q2" s="131"/>
      <c r="R2" s="131"/>
      <c r="S2" s="131"/>
      <c r="T2" s="131"/>
    </row>
    <row r="3" spans="1:20" x14ac:dyDescent="0.35">
      <c r="A3" s="132"/>
      <c r="B3" s="132"/>
      <c r="C3" s="132"/>
      <c r="D3" s="132"/>
      <c r="E3" s="132"/>
      <c r="F3" s="132"/>
      <c r="G3" s="132"/>
      <c r="H3" s="132"/>
      <c r="I3" s="132"/>
      <c r="J3" s="132"/>
      <c r="K3" s="132"/>
      <c r="L3" s="132"/>
      <c r="M3" s="132"/>
      <c r="N3" s="132"/>
      <c r="O3" s="132"/>
      <c r="P3" s="132"/>
      <c r="Q3" s="132"/>
      <c r="R3" s="132"/>
      <c r="S3" s="132"/>
      <c r="T3" s="132"/>
    </row>
    <row r="4" spans="1:20" ht="15.5" x14ac:dyDescent="0.35">
      <c r="A4" s="133" t="s">
        <v>120</v>
      </c>
      <c r="B4" s="134"/>
      <c r="C4" s="134"/>
      <c r="D4" s="134"/>
      <c r="E4" s="134"/>
      <c r="F4" s="134"/>
      <c r="G4" s="134"/>
      <c r="H4" s="134"/>
      <c r="I4" s="134"/>
      <c r="J4" s="134"/>
      <c r="K4" s="134"/>
      <c r="L4" s="134"/>
      <c r="M4" s="134"/>
      <c r="N4" s="134"/>
      <c r="O4" s="134"/>
      <c r="P4" s="134"/>
      <c r="Q4" s="134"/>
      <c r="R4" s="134"/>
      <c r="S4" s="134"/>
      <c r="T4" s="134"/>
    </row>
    <row r="5" spans="1:20" x14ac:dyDescent="0.35">
      <c r="A5" s="44"/>
      <c r="B5" s="44"/>
      <c r="C5" s="44"/>
      <c r="D5" s="44"/>
      <c r="E5" s="44"/>
      <c r="F5" s="45"/>
      <c r="G5" s="44"/>
      <c r="H5" s="44"/>
      <c r="I5" s="44"/>
      <c r="J5" s="44"/>
      <c r="K5" s="44"/>
      <c r="L5" s="46"/>
      <c r="M5" s="47"/>
      <c r="N5" s="44"/>
      <c r="O5" s="44"/>
      <c r="P5" s="44"/>
      <c r="Q5" s="44"/>
      <c r="R5" s="44"/>
      <c r="S5" s="44"/>
      <c r="T5" s="44"/>
    </row>
    <row r="6" spans="1:20" x14ac:dyDescent="0.35">
      <c r="A6" s="135" t="s">
        <v>141</v>
      </c>
      <c r="B6" s="136"/>
      <c r="C6" s="136"/>
      <c r="D6" s="136"/>
      <c r="E6" s="136"/>
      <c r="F6" s="136"/>
      <c r="G6" s="44"/>
      <c r="H6" s="137" t="s">
        <v>121</v>
      </c>
      <c r="I6" s="137"/>
      <c r="J6" s="137"/>
      <c r="K6" s="137"/>
      <c r="L6" s="137"/>
      <c r="M6" s="137"/>
      <c r="N6" s="44"/>
      <c r="O6" s="44"/>
      <c r="P6" s="44"/>
      <c r="Q6" s="44"/>
      <c r="R6" s="44"/>
      <c r="S6" s="44"/>
      <c r="T6" s="44"/>
    </row>
    <row r="7" spans="1:20" x14ac:dyDescent="0.35">
      <c r="A7" s="135" t="s">
        <v>122</v>
      </c>
      <c r="B7" s="136"/>
      <c r="C7" s="136"/>
      <c r="D7" s="136"/>
      <c r="E7" s="136"/>
      <c r="F7" s="136"/>
      <c r="G7" s="44"/>
      <c r="H7" s="137" t="s">
        <v>123</v>
      </c>
      <c r="I7" s="137"/>
      <c r="J7" s="137"/>
      <c r="K7" s="137"/>
      <c r="L7" s="137"/>
      <c r="M7" s="137"/>
      <c r="N7" s="48"/>
      <c r="O7" s="44"/>
      <c r="P7" s="44"/>
      <c r="Q7" s="44"/>
      <c r="R7" s="44"/>
      <c r="S7" s="44"/>
      <c r="T7" s="44"/>
    </row>
    <row r="8" spans="1:20" x14ac:dyDescent="0.35">
      <c r="A8" s="135" t="s">
        <v>124</v>
      </c>
      <c r="B8" s="136"/>
      <c r="C8" s="136"/>
      <c r="D8" s="136"/>
      <c r="E8" s="136"/>
      <c r="F8" s="136"/>
      <c r="G8" s="44"/>
      <c r="H8" s="44"/>
      <c r="I8" s="44"/>
      <c r="J8" s="44"/>
      <c r="K8" s="44"/>
      <c r="L8" s="46"/>
      <c r="M8" s="47"/>
      <c r="N8" s="44"/>
      <c r="O8" s="44"/>
      <c r="P8" s="44"/>
      <c r="Q8" s="44"/>
      <c r="R8" s="44"/>
      <c r="S8" s="44"/>
      <c r="T8" s="44"/>
    </row>
    <row r="9" spans="1:20" x14ac:dyDescent="0.35">
      <c r="A9" s="135" t="s">
        <v>125</v>
      </c>
      <c r="B9" s="136"/>
      <c r="C9" s="136"/>
      <c r="D9" s="136"/>
      <c r="E9" s="136"/>
      <c r="F9" s="136"/>
      <c r="G9" s="44"/>
      <c r="H9" s="44"/>
      <c r="I9" s="44"/>
      <c r="J9" s="44"/>
      <c r="K9" s="44"/>
      <c r="L9" s="46"/>
      <c r="M9" s="47"/>
      <c r="N9" s="44"/>
      <c r="O9" s="44"/>
      <c r="P9" s="44"/>
      <c r="Q9" s="44"/>
      <c r="R9" s="44"/>
      <c r="S9" s="44"/>
      <c r="T9" s="44"/>
    </row>
    <row r="10" spans="1:20" ht="15" thickBot="1" x14ac:dyDescent="0.4">
      <c r="A10" s="44"/>
      <c r="B10" s="44"/>
      <c r="C10" s="44"/>
      <c r="D10" s="44"/>
      <c r="E10" s="44"/>
      <c r="F10" s="45"/>
      <c r="G10" s="44"/>
      <c r="H10" s="44"/>
      <c r="I10" s="44"/>
      <c r="J10" s="44"/>
      <c r="K10" s="44"/>
      <c r="L10" s="46"/>
      <c r="M10" s="47"/>
      <c r="N10" s="44"/>
      <c r="O10" s="44"/>
      <c r="P10" s="44"/>
      <c r="Q10" s="44"/>
      <c r="R10" s="44"/>
      <c r="S10" s="44"/>
      <c r="T10" s="44"/>
    </row>
    <row r="11" spans="1:20" x14ac:dyDescent="0.35">
      <c r="A11" s="138" t="s">
        <v>0</v>
      </c>
      <c r="B11" s="140" t="s">
        <v>1</v>
      </c>
      <c r="C11" s="140" t="s">
        <v>2</v>
      </c>
      <c r="D11" s="142" t="s">
        <v>126</v>
      </c>
      <c r="E11" s="142" t="s">
        <v>127</v>
      </c>
      <c r="F11" s="144" t="s">
        <v>128</v>
      </c>
      <c r="G11" s="142" t="s">
        <v>129</v>
      </c>
      <c r="H11" s="142" t="s">
        <v>130</v>
      </c>
      <c r="I11" s="142"/>
      <c r="J11" s="142" t="s">
        <v>131</v>
      </c>
      <c r="K11" s="142" t="s">
        <v>132</v>
      </c>
      <c r="L11" s="148" t="s">
        <v>133</v>
      </c>
      <c r="M11" s="142" t="s">
        <v>10</v>
      </c>
      <c r="N11" s="150"/>
      <c r="O11" s="151" t="s">
        <v>134</v>
      </c>
      <c r="P11" s="151" t="s">
        <v>135</v>
      </c>
      <c r="Q11" s="151" t="s">
        <v>136</v>
      </c>
      <c r="R11" s="151" t="s">
        <v>137</v>
      </c>
      <c r="S11" s="151" t="s">
        <v>138</v>
      </c>
      <c r="T11" s="146" t="s">
        <v>142</v>
      </c>
    </row>
    <row r="12" spans="1:20" x14ac:dyDescent="0.35">
      <c r="A12" s="139"/>
      <c r="B12" s="141"/>
      <c r="C12" s="141"/>
      <c r="D12" s="141"/>
      <c r="E12" s="143"/>
      <c r="F12" s="145"/>
      <c r="G12" s="141"/>
      <c r="H12" s="49" t="s">
        <v>139</v>
      </c>
      <c r="I12" s="49" t="s">
        <v>140</v>
      </c>
      <c r="J12" s="141"/>
      <c r="K12" s="141"/>
      <c r="L12" s="149"/>
      <c r="M12" s="50" t="s">
        <v>13</v>
      </c>
      <c r="N12" s="51" t="s">
        <v>14</v>
      </c>
      <c r="O12" s="152"/>
      <c r="P12" s="152"/>
      <c r="Q12" s="153"/>
      <c r="R12" s="153"/>
      <c r="S12" s="152"/>
      <c r="T12" s="147"/>
    </row>
  </sheetData>
  <mergeCells count="28">
    <mergeCell ref="O11:O12"/>
    <mergeCell ref="P11:P12"/>
    <mergeCell ref="Q11:Q12"/>
    <mergeCell ref="R11:R12"/>
    <mergeCell ref="S11:S12"/>
    <mergeCell ref="T11:T12"/>
    <mergeCell ref="G11:G12"/>
    <mergeCell ref="H11:I11"/>
    <mergeCell ref="J11:J12"/>
    <mergeCell ref="K11:K12"/>
    <mergeCell ref="L11:L12"/>
    <mergeCell ref="M11:N11"/>
    <mergeCell ref="A7:F7"/>
    <mergeCell ref="H7:M7"/>
    <mergeCell ref="A8:F8"/>
    <mergeCell ref="A9:F9"/>
    <mergeCell ref="A11:A12"/>
    <mergeCell ref="B11:B12"/>
    <mergeCell ref="C11:C12"/>
    <mergeCell ref="D11:D12"/>
    <mergeCell ref="E11:E12"/>
    <mergeCell ref="F11:F12"/>
    <mergeCell ref="A1:B1"/>
    <mergeCell ref="A2:T2"/>
    <mergeCell ref="A3:T3"/>
    <mergeCell ref="A4:T4"/>
    <mergeCell ref="A6:F6"/>
    <mergeCell ref="H6:M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Baseline</vt:lpstr>
      <vt:lpstr>Form2</vt:lpstr>
      <vt:lpstr>M_PES</vt:lpstr>
      <vt:lpstr>F1_B</vt:lpstr>
      <vt:lpstr>F1_M</vt:lpstr>
      <vt:lpstr>Baseline!Print_Area</vt:lpstr>
      <vt:lpstr>Form2!Print_Area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ADMIN</cp:lastModifiedBy>
  <cp:lastPrinted>2025-12-05T05:15:33Z</cp:lastPrinted>
  <dcterms:created xsi:type="dcterms:W3CDTF">2025-11-20T02:21:36Z</dcterms:created>
  <dcterms:modified xsi:type="dcterms:W3CDTF">2026-02-19T06:38:58Z</dcterms:modified>
</cp:coreProperties>
</file>