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<sst xmlns="http://schemas.openxmlformats.org/spreadsheetml/2006/main" uniqueCount="33">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</sst>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1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2</v>
      </c>
      <c r="D12" s="14">
        <f>SUM(D10:D11)</f>
        <v>2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1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1</v>
      </c>
      <c r="R12" s="14">
        <f>SUM(R10:R11)</f>
        <v>0</v>
      </c>
      <c r="S12" s="15">
        <f>IF(R12="","",IF($D12=0,0,R12/$D12))</f>
        <v>0</v>
      </c>
      <c r="T12" s="14">
        <f>SUM(T10:T11)</f>
        <v>1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1.5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0</v>
      </c>
      <c r="D14" s="29">
        <f>SUM(F14,H14,J14,L14,N14)</f>
        <v>1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40</v>
      </c>
      <c r="D15" s="14">
        <f>SUM(D13:D14)</f>
        <v>41</v>
      </c>
      <c r="E15" s="15">
        <f>IF(D15="","",D15/$C15)</f>
        <v>1.025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1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1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0</v>
      </c>
      <c r="D29" s="29">
        <f>SUM(F29,H29,J29,L29,N29)</f>
        <v>2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1</v>
      </c>
      <c r="D30" s="14">
        <f>SUM(D28:D29)</f>
        <v>3</v>
      </c>
      <c r="E30" s="15">
        <f>IF(D30="","",D30/$C30)</f>
        <v>3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44</v>
      </c>
      <c r="D34" s="19">
        <f>SUM(D31,D28,D25,D22,D19,D16,D13,D10)</f>
        <v>44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0.68181818181818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12</v>
      </c>
      <c r="K34" s="20">
        <f>IF(J34="","",IF($D34=0,0,J34/$D34))</f>
        <v>0.27272727272727</v>
      </c>
      <c r="L34" s="19">
        <f>SUM(L31,L28,L25,L22,L19,L16,L13,L10)</f>
        <v>2</v>
      </c>
      <c r="M34" s="20">
        <f>IF(L34="","",IF($D34=0,0,L34/$D34))</f>
        <v>0.045454545454545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0.068181818181818</v>
      </c>
      <c r="R34" s="19">
        <f>SUM(R31,R28,R25,R22,R19,R16,R13,R10)</f>
        <v>35</v>
      </c>
      <c r="S34" s="20">
        <f>IF(R34="","",IF($D34=0,0,R34/$D34))</f>
        <v>0.79545454545455</v>
      </c>
      <c r="T34" s="19">
        <f>SUM(T31,T28,T25,T22,T19,T16,T13,T10)</f>
        <v>6</v>
      </c>
      <c r="U34" s="20">
        <f>IF(T34="","",IF($D34=0,0,T34/$D34))</f>
        <v>0.13636363636364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44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4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1</v>
      </c>
      <c r="I35" s="9">
        <f>IF(H35="","",IF($D35=0,0,H35/$D35))</f>
        <v>0.25</v>
      </c>
      <c r="J35" s="19">
        <f>SUM(J32,J29,J26,J23,J20,J17,J14,J11)</f>
        <v>3</v>
      </c>
      <c r="K35" s="9">
        <f>IF(J35="","",IF($D35=0,0,J35/$D35))</f>
        <v>0.75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4</v>
      </c>
      <c r="Q35" s="9">
        <f>IF(P35="","",IF($D35=0,0,P35/$D35))</f>
        <v>1</v>
      </c>
      <c r="R35" s="19">
        <f>SUM(R32,R29,R26,R23,R20,R17,R14,R11)</f>
        <v>1</v>
      </c>
      <c r="S35" s="9">
        <f>IF(R35="","",IF($D35=0,0,R35/$D35))</f>
        <v>0.25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5</v>
      </c>
      <c r="Y35" s="9">
        <f>IF(X35="","",IF($D35=0,0,X35/$D35))</f>
        <v>1.25</v>
      </c>
    </row>
    <row r="36" spans="1:25" customHeight="1" ht="15">
      <c r="A36" s="68"/>
      <c r="B36" s="21" t="s">
        <v>24</v>
      </c>
      <c r="C36" s="22">
        <f>SUM(C34:C35)</f>
        <v>44</v>
      </c>
      <c r="D36" s="23">
        <f>SUM(D34:D35)</f>
        <v>48</v>
      </c>
      <c r="E36" s="24">
        <f>IF(D36="","",D36/$C36)</f>
        <v>1.0909090909091</v>
      </c>
      <c r="F36" s="23">
        <f>SUM(F34:F35)</f>
        <v>30</v>
      </c>
      <c r="G36" s="24">
        <f>IF(F36="","",IF($D36=0,0,F36/$D36))</f>
        <v>0.625</v>
      </c>
      <c r="H36" s="23">
        <f>SUM(H34:H35)</f>
        <v>1</v>
      </c>
      <c r="I36" s="24">
        <f>IF(H36="","",IF($D36=0,0,H36/$D36))</f>
        <v>0.020833333333333</v>
      </c>
      <c r="J36" s="23">
        <f>SUM(J34:J35)</f>
        <v>15</v>
      </c>
      <c r="K36" s="24">
        <f>IF(J36="","",IF($D36=0,0,J36/$D36))</f>
        <v>0.3125</v>
      </c>
      <c r="L36" s="23">
        <f>SUM(L34:L35)</f>
        <v>2</v>
      </c>
      <c r="M36" s="24">
        <f>IF(L36="","",IF($D36=0,0,L36/$D36))</f>
        <v>0.041666666666667</v>
      </c>
      <c r="N36" s="23">
        <f>SUM(N34:N35)</f>
        <v>0</v>
      </c>
      <c r="O36" s="24">
        <f>IF(N36="","",IF($D36=0,0,N36/$D36))</f>
        <v>0</v>
      </c>
      <c r="P36" s="23">
        <f>SUM(P34:P35)</f>
        <v>7</v>
      </c>
      <c r="Q36" s="24">
        <f>IF(P36="","",IF($D36=0,0,P36/$D36))</f>
        <v>0.14583333333333</v>
      </c>
      <c r="R36" s="23">
        <f>SUM(R34:R35)</f>
        <v>36</v>
      </c>
      <c r="S36" s="24">
        <f>IF(R36="","",IF($D36=0,0,R36/$D36))</f>
        <v>0.75</v>
      </c>
      <c r="T36" s="23">
        <f>SUM(T34:T35)</f>
        <v>6</v>
      </c>
      <c r="U36" s="24">
        <f>IF(T36="","",IF($D36=0,0,T36/$D36))</f>
        <v>0.125</v>
      </c>
      <c r="V36" s="23">
        <f>SUM(V34:V35)</f>
        <v>0</v>
      </c>
      <c r="W36" s="24">
        <f>IF(V36="","",IF($D36=0,0,V36/$D36))</f>
        <v>0</v>
      </c>
      <c r="X36" s="23">
        <f>SUM(X34:X35)</f>
        <v>49</v>
      </c>
      <c r="Y36" s="24">
        <f>IF(X36="","",IF($D36=0,0,X36/$D36))</f>
        <v>1.0208333333333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